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cursal17\Downloads\"/>
    </mc:Choice>
  </mc:AlternateContent>
  <xr:revisionPtr revIDLastSave="0" documentId="13_ncr:1_{EBA739A4-6B00-4A38-BC32-47C053D961F2}" xr6:coauthVersionLast="47" xr6:coauthVersionMax="47" xr10:uidLastSave="{00000000-0000-0000-0000-000000000000}"/>
  <bookViews>
    <workbookView xWindow="-120" yWindow="-120" windowWidth="24240" windowHeight="13140" xr2:uid="{50A341D9-31B7-464A-BF33-600D29708FF5}"/>
  </bookViews>
  <sheets>
    <sheet name="OFERTAS" sheetId="4" r:id="rId1"/>
    <sheet name="DESTACADO" sheetId="2" r:id="rId2"/>
    <sheet name="COMBOS" sheetId="3" r:id="rId3"/>
  </sheets>
  <definedNames>
    <definedName name="_xlnm._FilterDatabase" localSheetId="1" hidden="1">DESTACADO!$A$1:$K$1</definedName>
    <definedName name="_xlnm._FilterDatabase" localSheetId="0" hidden="1">OFERTAS!$A$1:$N$329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44" i="4" l="1"/>
  <c r="F443" i="4"/>
  <c r="F442" i="4"/>
  <c r="F441" i="4"/>
  <c r="F440" i="4"/>
  <c r="E94" i="3"/>
  <c r="F94" i="3" s="1"/>
  <c r="G94" i="3" s="1"/>
  <c r="E93" i="3"/>
  <c r="F93" i="3" s="1"/>
  <c r="G93" i="3" l="1"/>
  <c r="G290" i="4"/>
  <c r="F203" i="4"/>
  <c r="G203" i="4" s="1"/>
  <c r="F202" i="4"/>
  <c r="G202" i="4" s="1"/>
  <c r="F125" i="4"/>
  <c r="G125" i="4" s="1"/>
  <c r="F124" i="4"/>
  <c r="G124" i="4" s="1"/>
  <c r="F126" i="4"/>
  <c r="G126" i="4" s="1"/>
  <c r="F127" i="4"/>
  <c r="G127" i="4" s="1"/>
  <c r="F138" i="4"/>
  <c r="G138" i="4" s="1"/>
  <c r="F134" i="4"/>
  <c r="G134" i="4" s="1"/>
  <c r="F136" i="4"/>
  <c r="G136" i="4" s="1"/>
  <c r="F128" i="4"/>
  <c r="G128" i="4" s="1"/>
  <c r="F139" i="4"/>
  <c r="G139" i="4" s="1"/>
  <c r="F137" i="4"/>
  <c r="G137" i="4" s="1"/>
  <c r="F135" i="4"/>
  <c r="G135" i="4" s="1"/>
  <c r="F129" i="4"/>
  <c r="G129" i="4" s="1"/>
  <c r="F133" i="4"/>
  <c r="G133" i="4" s="1"/>
  <c r="F132" i="4"/>
  <c r="G132" i="4" s="1"/>
  <c r="F130" i="4"/>
  <c r="G130" i="4" s="1"/>
  <c r="F131" i="4"/>
  <c r="G131" i="4" s="1"/>
  <c r="G291" i="4"/>
  <c r="F286" i="4" l="1"/>
  <c r="G286" i="4" s="1"/>
  <c r="F285" i="4"/>
  <c r="G285" i="4" s="1"/>
  <c r="F282" i="4"/>
  <c r="G282" i="4" s="1"/>
  <c r="F280" i="4"/>
  <c r="G280" i="4" s="1"/>
  <c r="F279" i="4"/>
  <c r="G279" i="4" s="1"/>
  <c r="F278" i="4"/>
  <c r="G278" i="4" s="1"/>
  <c r="F277" i="4"/>
  <c r="G277" i="4" s="1"/>
  <c r="F276" i="4"/>
  <c r="G276" i="4" s="1"/>
  <c r="F213" i="4"/>
  <c r="G213" i="4" s="1"/>
  <c r="F211" i="4"/>
  <c r="G211" i="4" s="1"/>
  <c r="F209" i="4"/>
  <c r="G209" i="4" s="1"/>
  <c r="F208" i="4"/>
  <c r="G208" i="4" s="1"/>
  <c r="F207" i="4"/>
  <c r="G207" i="4" s="1"/>
  <c r="F206" i="4"/>
  <c r="G206" i="4" s="1"/>
  <c r="F204" i="4"/>
  <c r="G204" i="4" s="1"/>
  <c r="F201" i="4"/>
  <c r="G201" i="4" s="1"/>
  <c r="F200" i="4"/>
  <c r="G200" i="4" s="1"/>
  <c r="F199" i="4"/>
  <c r="G199" i="4" s="1"/>
  <c r="F198" i="4"/>
  <c r="G198" i="4" s="1"/>
  <c r="F212" i="4"/>
  <c r="G212" i="4" s="1"/>
  <c r="F196" i="4"/>
  <c r="G196" i="4" s="1"/>
  <c r="F195" i="4"/>
  <c r="G195" i="4" s="1"/>
  <c r="E4" i="3"/>
  <c r="G55" i="3"/>
  <c r="G56" i="3"/>
  <c r="G14" i="3"/>
  <c r="G15" i="3"/>
  <c r="G2" i="3"/>
  <c r="G3" i="3"/>
  <c r="G11" i="3"/>
  <c r="G16" i="3"/>
  <c r="G5" i="3"/>
  <c r="G6" i="3"/>
  <c r="G7" i="3"/>
  <c r="G17" i="3"/>
  <c r="G57" i="3"/>
  <c r="G58" i="3"/>
  <c r="G59" i="3"/>
  <c r="G8" i="3"/>
  <c r="G18" i="3"/>
  <c r="G60" i="3"/>
  <c r="G61" i="3"/>
  <c r="G62" i="3"/>
  <c r="G63" i="3"/>
  <c r="G64" i="3"/>
  <c r="G65" i="3"/>
  <c r="G66" i="3"/>
  <c r="G67" i="3"/>
  <c r="G12" i="3"/>
  <c r="G19" i="3"/>
  <c r="G20" i="3"/>
  <c r="G68" i="3"/>
  <c r="G69" i="3"/>
  <c r="G21" i="3"/>
  <c r="G22" i="3"/>
  <c r="G23" i="3"/>
  <c r="G24" i="3"/>
  <c r="G25" i="3"/>
  <c r="G70" i="3"/>
  <c r="G71" i="3"/>
  <c r="G72" i="3"/>
  <c r="G27" i="3"/>
  <c r="G28" i="3"/>
  <c r="G29" i="3"/>
  <c r="G30" i="3"/>
  <c r="G31" i="3"/>
  <c r="G73" i="3"/>
  <c r="G74" i="3"/>
  <c r="G75" i="3"/>
  <c r="G32" i="3"/>
  <c r="G76" i="3"/>
  <c r="G77" i="3"/>
  <c r="G33" i="3"/>
  <c r="G34" i="3"/>
  <c r="G35" i="3"/>
  <c r="G9" i="3"/>
  <c r="G78" i="3"/>
  <c r="G79" i="3"/>
  <c r="G36" i="3"/>
  <c r="G37" i="3"/>
  <c r="G80" i="3"/>
  <c r="G38" i="3"/>
  <c r="G81" i="3"/>
  <c r="G82" i="3"/>
  <c r="G39" i="3"/>
  <c r="G83" i="3"/>
  <c r="G40" i="3"/>
  <c r="G84" i="3"/>
  <c r="G41" i="3"/>
  <c r="G42" i="3"/>
  <c r="G85" i="3"/>
  <c r="G43" i="3"/>
  <c r="G44" i="3"/>
  <c r="G86" i="3"/>
  <c r="G45" i="3"/>
  <c r="G87" i="3"/>
  <c r="G46" i="3"/>
  <c r="G47" i="3"/>
  <c r="G48" i="3"/>
  <c r="G49" i="3"/>
  <c r="G88" i="3"/>
  <c r="G50" i="3"/>
  <c r="G89" i="3"/>
  <c r="G51" i="3"/>
  <c r="G52" i="3"/>
  <c r="G53" i="3"/>
  <c r="G90" i="3"/>
  <c r="G91" i="3"/>
  <c r="G92" i="3"/>
  <c r="G54" i="3"/>
  <c r="G13" i="3"/>
  <c r="G10" i="3"/>
  <c r="G4" i="3" l="1"/>
  <c r="G26" i="3" l="1"/>
</calcChain>
</file>

<file path=xl/sharedStrings.xml><?xml version="1.0" encoding="utf-8"?>
<sst xmlns="http://schemas.openxmlformats.org/spreadsheetml/2006/main" count="4976" uniqueCount="1651">
  <si>
    <t>COD_INT</t>
  </si>
  <si>
    <t>COD_PRO</t>
  </si>
  <si>
    <t>SKU</t>
  </si>
  <si>
    <t>DESCRIPCION_ARTICULOS</t>
  </si>
  <si>
    <t>PRECIO</t>
  </si>
  <si>
    <t>OFERTA</t>
  </si>
  <si>
    <t>AHORRO</t>
  </si>
  <si>
    <t>LLEVANDO</t>
  </si>
  <si>
    <t>CONCEPTO</t>
  </si>
  <si>
    <t>DESDE</t>
  </si>
  <si>
    <t>HASTA</t>
  </si>
  <si>
    <t>sector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</si>
  <si>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</si>
  <si>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</si>
  <si>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</si>
  <si>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</si>
  <si>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</si>
  <si>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</si>
  <si>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</si>
  <si>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</si>
  <si>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30%</t>
  </si>
  <si>
    <t xml:space="preserve">ALIMENTO P/MASCOTAS                               </t>
  </si>
  <si>
    <t>10% OFF</t>
  </si>
  <si>
    <t>25% OFF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</si>
  <si>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</si>
  <si>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</si>
  <si>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</si>
  <si>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</si>
  <si>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</si>
  <si>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</si>
  <si>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</si>
  <si>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</si>
  <si>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</si>
  <si>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</si>
  <si>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</si>
  <si>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</si>
  <si>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</si>
  <si>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</si>
  <si>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</si>
  <si>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</si>
  <si>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</si>
  <si>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</si>
  <si>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</si>
  <si>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</si>
  <si>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</si>
  <si>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</si>
  <si>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</si>
  <si>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CHOC FERRERO ROCH 8X       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</si>
  <si>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</si>
  <si>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</si>
  <si>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</si>
  <si>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</si>
  <si>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</si>
  <si>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</si>
  <si>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</si>
  <si>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</si>
  <si>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</si>
  <si>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</si>
  <si>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</si>
  <si>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</si>
  <si>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</si>
  <si>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HELADERAS                                         </t>
  </si>
  <si>
    <t xml:space="preserve">COMESTIBLES     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</si>
  <si>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</si>
  <si>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</si>
  <si>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</si>
  <si>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</si>
  <si>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</si>
  <si>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</si>
  <si>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</si>
  <si>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</si>
  <si>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</si>
  <si>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</si>
  <si>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</si>
  <si>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</si>
  <si>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</si>
  <si>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</si>
  <si>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</si>
  <si>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</si>
  <si>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</si>
  <si>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</si>
  <si>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</si>
  <si>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</si>
  <si>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</si>
  <si>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</si>
  <si>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</si>
  <si>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</si>
  <si>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</si>
  <si>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</si>
  <si>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</si>
  <si>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</si>
  <si>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</si>
  <si>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</si>
  <si>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</si>
  <si>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</si>
  <si>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</si>
  <si>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</si>
  <si>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</si>
  <si>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</si>
  <si>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</si>
  <si>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</si>
  <si>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</si>
  <si>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</si>
  <si>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</si>
  <si>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</si>
  <si>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</si>
  <si>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</si>
  <si>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</si>
  <si>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</si>
  <si>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</si>
  <si>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 xml:space="preserve">LAFI VIENISSIMA SALCHI 6X225X                     </t>
  </si>
  <si>
    <t>35% OFF</t>
  </si>
  <si>
    <t>Unidad</t>
  </si>
  <si>
    <t>2da al 80%</t>
  </si>
  <si>
    <t>2da al 60%</t>
  </si>
  <si>
    <t>12% OFF</t>
  </si>
  <si>
    <t xml:space="preserve">CHOC COFLER BLOCK 38X                             </t>
  </si>
  <si>
    <t xml:space="preserve">CHOC COFLER BLOCK BCO 38X                         </t>
  </si>
  <si>
    <t xml:space="preserve">CHOC BOMB BOB BLANCO 15X                          </t>
  </si>
  <si>
    <t xml:space="preserve">CHOC BOMB BOB LECHE 15X                           </t>
  </si>
  <si>
    <t>2da al 70%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</si>
  <si>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</si>
  <si>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</si>
  <si>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</si>
  <si>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</si>
  <si>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</si>
  <si>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</si>
  <si>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</si>
  <si>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</si>
  <si>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</si>
  <si>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LAFI VIENISSIMA S/TCC 12X460X                     </t>
  </si>
  <si>
    <t xml:space="preserve">CHOC KINDER SORPRESA 1X   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</si>
  <si>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</si>
  <si>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</si>
  <si>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</si>
  <si>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</si>
  <si>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</si>
  <si>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</si>
  <si>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LIMPIEZA                                          </t>
  </si>
  <si>
    <t xml:space="preserve">DESAYUNO Y MERIENDA                               </t>
  </si>
  <si>
    <t>18% OFF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</si>
  <si>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</si>
  <si>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</si>
  <si>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</si>
  <si>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</si>
  <si>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</si>
  <si>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</si>
  <si>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</si>
  <si>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</si>
  <si>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</si>
  <si>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</si>
  <si>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</si>
  <si>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</si>
  <si>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</si>
  <si>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</si>
  <si>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</si>
  <si>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oferta</t>
  </si>
  <si>
    <t>7798120730053</t>
  </si>
  <si>
    <t>7797453971171</t>
  </si>
  <si>
    <t>7797453970990</t>
  </si>
  <si>
    <t>7797453971058</t>
  </si>
  <si>
    <t>7797453971119</t>
  </si>
  <si>
    <t>7797453973120</t>
  </si>
  <si>
    <t>7797453001502</t>
  </si>
  <si>
    <t>7797453001601</t>
  </si>
  <si>
    <t>7797453001564</t>
  </si>
  <si>
    <t>7797453001526</t>
  </si>
  <si>
    <t>7797453001540</t>
  </si>
  <si>
    <t>7797453000802</t>
  </si>
  <si>
    <t>7797453000796</t>
  </si>
  <si>
    <t>7797453000468</t>
  </si>
  <si>
    <t>7797453000475</t>
  </si>
  <si>
    <t>7797453000482</t>
  </si>
  <si>
    <t>7797453971768</t>
  </si>
  <si>
    <t>7797453000550</t>
  </si>
  <si>
    <t>7797453000437</t>
  </si>
  <si>
    <t>7896029077672</t>
  </si>
  <si>
    <t>7797453000406</t>
  </si>
  <si>
    <t>7797453000420</t>
  </si>
  <si>
    <t>7797453000543</t>
  </si>
  <si>
    <t>4058075064171</t>
  </si>
  <si>
    <t>4058075064256</t>
  </si>
  <si>
    <t>4058075498341</t>
  </si>
  <si>
    <t>4058075064232</t>
  </si>
  <si>
    <t>4058075064218</t>
  </si>
  <si>
    <t>4058075064157</t>
  </si>
  <si>
    <t>4058075064119</t>
  </si>
  <si>
    <t>4058075064133</t>
  </si>
  <si>
    <t>4058075321168</t>
  </si>
  <si>
    <t>7790580101732</t>
  </si>
  <si>
    <t xml:space="preserve">CHOC AGUILA 70% CACAO 70X                         </t>
  </si>
  <si>
    <t>7790580101879</t>
  </si>
  <si>
    <t xml:space="preserve">CHOC AGUILA 60% NARANJITA 70X                     </t>
  </si>
  <si>
    <t>7790580118716</t>
  </si>
  <si>
    <t xml:space="preserve">CHOC AGUILA 80% CACAO 70X                         </t>
  </si>
  <si>
    <t>7790580124564</t>
  </si>
  <si>
    <t xml:space="preserve">CHOC AGUILA 60% C/FRAMB 70X                       </t>
  </si>
  <si>
    <t>7790580155322</t>
  </si>
  <si>
    <t xml:space="preserve">CHOC AGUILA 70%CACAO 130X                         </t>
  </si>
  <si>
    <t xml:space="preserve">CHOC AGUILA 80%CACAO 130X                         </t>
  </si>
  <si>
    <t>7790040154896</t>
  </si>
  <si>
    <t xml:space="preserve">ALFA BONOBON GOAT 75X                             </t>
  </si>
  <si>
    <t>7790580139216</t>
  </si>
  <si>
    <t xml:space="preserve">CHOC COFLER DLECH 46X                             </t>
  </si>
  <si>
    <t>7790580153922</t>
  </si>
  <si>
    <t xml:space="preserve">CHOC BOMB BOB SUPRIME 8X18X                       </t>
  </si>
  <si>
    <t>7790580124557</t>
  </si>
  <si>
    <t xml:space="preserve">CHOC BOMB BOB SUPRIME 36X                         </t>
  </si>
  <si>
    <t>7790040137578</t>
  </si>
  <si>
    <t xml:space="preserve">ALFA AGUILA MINI TORT DARCK 67X                   </t>
  </si>
  <si>
    <t>7790580117771</t>
  </si>
  <si>
    <t xml:space="preserve">CHOC BOMBON BOB CHOCOLINAS 18X15X                 </t>
  </si>
  <si>
    <t xml:space="preserve">77961815     </t>
  </si>
  <si>
    <t>7790580119065</t>
  </si>
  <si>
    <t xml:space="preserve">CHOC BOMBON BOB BLANCO 18X15X                     </t>
  </si>
  <si>
    <t>7790580119126</t>
  </si>
  <si>
    <t xml:space="preserve">CHOC BOMB BOB SURTIDO 255X                        </t>
  </si>
  <si>
    <t xml:space="preserve">77958921     </t>
  </si>
  <si>
    <t>7790580119157</t>
  </si>
  <si>
    <t xml:space="preserve">CHOC BOMBON BOB LECHE 18X15X                      </t>
  </si>
  <si>
    <t>7790580119164</t>
  </si>
  <si>
    <t xml:space="preserve">CHOC BOMB BOB LECHE 7X15X                         </t>
  </si>
  <si>
    <t>7790580102517</t>
  </si>
  <si>
    <t xml:space="preserve">CHOC BOMBON BOB AGUILA 18X15X                     </t>
  </si>
  <si>
    <t>7790580137090</t>
  </si>
  <si>
    <t>7790580126124</t>
  </si>
  <si>
    <t xml:space="preserve">CHOC COFLER BLOCK GOLD 35X                        </t>
  </si>
  <si>
    <t xml:space="preserve">77953124     </t>
  </si>
  <si>
    <t xml:space="preserve">77944382     </t>
  </si>
  <si>
    <t xml:space="preserve">77944375     </t>
  </si>
  <si>
    <t>7790580403003</t>
  </si>
  <si>
    <t>7790580403812</t>
  </si>
  <si>
    <t>7790580124519</t>
  </si>
  <si>
    <t xml:space="preserve">CARA A.MOGUL 360 PELAB MGO 26X                    </t>
  </si>
  <si>
    <t>7790580124465</t>
  </si>
  <si>
    <t xml:space="preserve">CARA A.MOGUL 360 PELAB UVA 26X                    </t>
  </si>
  <si>
    <t>7790580124441</t>
  </si>
  <si>
    <t xml:space="preserve">CARA A.MOGUL 360 CUBO MIST 26X                    </t>
  </si>
  <si>
    <t>7790580124373</t>
  </si>
  <si>
    <t xml:space="preserve">CARA A.MOGUL 360 OSITO 4D 26X                     </t>
  </si>
  <si>
    <t>7790580139421</t>
  </si>
  <si>
    <t xml:space="preserve">CARA A.MOGUL JELLY MUNDIAL 50X                    </t>
  </si>
  <si>
    <t>8000500041338</t>
  </si>
  <si>
    <t xml:space="preserve">CHOC RAFFAELO 30X                                 </t>
  </si>
  <si>
    <t>7861002900117</t>
  </si>
  <si>
    <t xml:space="preserve">78606487     </t>
  </si>
  <si>
    <t>7797394001265</t>
  </si>
  <si>
    <t>7797394002545</t>
  </si>
  <si>
    <t xml:space="preserve">78600027     </t>
  </si>
  <si>
    <t xml:space="preserve">77965363     </t>
  </si>
  <si>
    <t xml:space="preserve">78934078     </t>
  </si>
  <si>
    <t xml:space="preserve">77907509     </t>
  </si>
  <si>
    <t>7790206506958</t>
  </si>
  <si>
    <t xml:space="preserve">ARR  GARRISON L.FINO 4/0 1X                       </t>
  </si>
  <si>
    <t xml:space="preserve">LEGU GARRIS. MAIZ PISING 400X                     </t>
  </si>
  <si>
    <t xml:space="preserve">LEGU CATINI MAIZ PISING 400X                      </t>
  </si>
  <si>
    <t xml:space="preserve">LEGU CATINI LENTEJAS 500X                         </t>
  </si>
  <si>
    <t xml:space="preserve">LEGU CATINI MAIZ PIS.BCO 500X                     </t>
  </si>
  <si>
    <t xml:space="preserve">HARM GARRISON POLENTINI 500X                      </t>
  </si>
  <si>
    <t xml:space="preserve">DULB ARCOR BAT VAIN EST 500X                      </t>
  </si>
  <si>
    <t xml:space="preserve">DULM ARCOR MEMB 500X                              </t>
  </si>
  <si>
    <t xml:space="preserve">DULB ARCOR BAT C/CHOC 500X                        </t>
  </si>
  <si>
    <t xml:space="preserve">ADER NATURA SALS BARBACOA 250X                    </t>
  </si>
  <si>
    <t xml:space="preserve">SALS ARCOR PIZZA D/P 340X                         </t>
  </si>
  <si>
    <t xml:space="preserve">PURE LA CAMPAGNOLA TOMA 530X                      </t>
  </si>
  <si>
    <t xml:space="preserve">VINA D.ANCLAS ALCOHOL 500X                        </t>
  </si>
  <si>
    <t xml:space="preserve">VINA D.ANCLAS ALCOHOL 1X                          </t>
  </si>
  <si>
    <t xml:space="preserve">VINA D.ANCLAS MZNA 1X                             </t>
  </si>
  <si>
    <t xml:space="preserve">VINA D.ANCLAS MZNA 500X                           </t>
  </si>
  <si>
    <t xml:space="preserve">SALF DOS ANCLAS FIN PTE 500X                      </t>
  </si>
  <si>
    <t xml:space="preserve">ADER DOS ANCLAS SALS CAESAR 350X                  </t>
  </si>
  <si>
    <t xml:space="preserve">ADER TAU SALSA GUACAMOLE 290X                     </t>
  </si>
  <si>
    <t xml:space="preserve">MAYO NATURA D/P 125X                              </t>
  </si>
  <si>
    <t xml:space="preserve">ACGI NATURA 5X                                    </t>
  </si>
  <si>
    <t xml:space="preserve">ARR  LUCCH LARGO FINO 500X                        </t>
  </si>
  <si>
    <t xml:space="preserve">FIDO LUCCH.TALL N5 500X                           </t>
  </si>
  <si>
    <t xml:space="preserve">FIDO LUCCH.SPAG N7 500X                           </t>
  </si>
  <si>
    <t xml:space="preserve">FIDO LUCCH.TIRAB N 28 500X                        </t>
  </si>
  <si>
    <t xml:space="preserve">ARR  LUCCH LARGO FINO 1X                          </t>
  </si>
  <si>
    <t xml:space="preserve">FIDO LUCCHETTI MOSTAC N51 500X                    </t>
  </si>
  <si>
    <t xml:space="preserve">BIZC EXQ ESP VAINILLA 540X                        </t>
  </si>
  <si>
    <t xml:space="preserve">FIDO LUCCH.CODITO 500X                            </t>
  </si>
  <si>
    <t xml:space="preserve">FIDO MATAR SPAG TRAD 500X                         </t>
  </si>
  <si>
    <t xml:space="preserve">FIDO MATAR TIRAB N28 500X                         </t>
  </si>
  <si>
    <t xml:space="preserve">FIDO MATARAZZO MOSTACHOL N52 500X                 </t>
  </si>
  <si>
    <t xml:space="preserve">FIDO LUCCH FORATINI 500X                          </t>
  </si>
  <si>
    <t xml:space="preserve">FIDO MATAR TALL N5 500X                           </t>
  </si>
  <si>
    <t xml:space="preserve">FIDO MATAR CODITO RAY 500X                        </t>
  </si>
  <si>
    <t xml:space="preserve">FIDO MATARAZZO BUCATTINI 500X                     </t>
  </si>
  <si>
    <t xml:space="preserve">BIZC EXQ ESP NARANJA  540X                        </t>
  </si>
  <si>
    <t xml:space="preserve">BIZC EXQ ESP COCO 540X                            </t>
  </si>
  <si>
    <t xml:space="preserve">BIZC EXQ ESP LIMON 540X                           </t>
  </si>
  <si>
    <t>Destacado</t>
  </si>
  <si>
    <t xml:space="preserve">LAFI PATY SALCH FUN CLAS 6X                       </t>
  </si>
  <si>
    <t xml:space="preserve">Sin Indicar         </t>
  </si>
  <si>
    <t xml:space="preserve">ACGI LEGITIMO GIR 900X                            </t>
  </si>
  <si>
    <t xml:space="preserve">ARR D.HERMANO L/F 1X                              </t>
  </si>
  <si>
    <t xml:space="preserve">ARV  SAB.VALLE SEC REM T/P  340X                  </t>
  </si>
  <si>
    <t xml:space="preserve">AZUC LA PROVIDENCIA 1X                            </t>
  </si>
  <si>
    <t xml:space="preserve">CERV BUDWEISER LAT 473X                           </t>
  </si>
  <si>
    <t xml:space="preserve">CONP CUMANA ATUN E/A DESM 170X                    </t>
  </si>
  <si>
    <t xml:space="preserve">CONP CUMANA ATUN NAT DESM 170X                    </t>
  </si>
  <si>
    <t xml:space="preserve">DETC MAGISTRAL ULTR LIMON 300X                    </t>
  </si>
  <si>
    <t xml:space="preserve">DLCH SERENISIMA CLASICO 400X                      </t>
  </si>
  <si>
    <t xml:space="preserve">DLCH SERENISIMA COLONIAL 400X                     </t>
  </si>
  <si>
    <t xml:space="preserve">FIDO FAVORITA CODITO RAY 500X                     </t>
  </si>
  <si>
    <t xml:space="preserve">FIDO FAVORITA MOST 500X                           </t>
  </si>
  <si>
    <t xml:space="preserve">FIDO FAVORITA SPAG 500X                           </t>
  </si>
  <si>
    <t xml:space="preserve">FIDO FAVORITA TALL 500X                           </t>
  </si>
  <si>
    <t xml:space="preserve">FIDO FAVORITA TIRAB 500X                          </t>
  </si>
  <si>
    <t xml:space="preserve">GALD T.VARIEDAD 390X                              </t>
  </si>
  <si>
    <t xml:space="preserve">GALS L.PROVIDENCIA 303X                           </t>
  </si>
  <si>
    <t xml:space="preserve">HARL FLORENCIA LEUD 1X                            </t>
  </si>
  <si>
    <t xml:space="preserve">HART FLORENCIA 3/0 1X                             </t>
  </si>
  <si>
    <t xml:space="preserve">HART FLORENCIA 4/0 1X                             </t>
  </si>
  <si>
    <t xml:space="preserve">LECH PURISIMA DESC 800X                           </t>
  </si>
  <si>
    <t xml:space="preserve">LECH PURISIMA ENT 800X                            </t>
  </si>
  <si>
    <t xml:space="preserve">LUAT TREGAR DESC T.BRIK 1X                        </t>
  </si>
  <si>
    <t xml:space="preserve">LUAT TREGAR ENT T.BRIK 1X                         </t>
  </si>
  <si>
    <t xml:space="preserve">PAPE FOFINHO PREMIUM D/H 100% 12X30X              </t>
  </si>
  <si>
    <t xml:space="preserve">PURE SAB.VALLE T/B 520X                           </t>
  </si>
  <si>
    <t xml:space="preserve">ROLL COC ELEGANTE 50 PANOS 3X                     </t>
  </si>
  <si>
    <t xml:space="preserve">YERB ROMANCE 500X                                 </t>
  </si>
  <si>
    <t xml:space="preserve">FIAM RECREO JAM COCIDO X KG                       </t>
  </si>
  <si>
    <t xml:space="preserve">FIAMBRERIA                                        </t>
  </si>
  <si>
    <t xml:space="preserve">FIQU TREGAR CREMOSO X KG                          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</si>
  <si>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</si>
  <si>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</si>
  <si>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</si>
  <si>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</si>
  <si>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</si>
  <si>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</si>
  <si>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</si>
  <si>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</si>
  <si>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7790950000160 | 7790895001000</t>
  </si>
  <si>
    <t>1 APER GANCIA AMERICANO 950X + 1 GAS SPRITE ORIG PET 2.25X</t>
  </si>
  <si>
    <t>TODAS LAS SUCURSALES</t>
  </si>
  <si>
    <t>CEPAS ARGENTINAS S.A.</t>
  </si>
  <si>
    <t>SALTA REFRESCOS S.A.</t>
  </si>
  <si>
    <t>7798131200828 | 7790895010088</t>
  </si>
  <si>
    <t>1 VERM CINZANO ROSSO 1X + 1 GAS SCHWEP POMELO ZERO 1.5X</t>
  </si>
  <si>
    <t>CAMPARI ARGENTINA SA</t>
  </si>
  <si>
    <t>7791843008294 | 7790895010088</t>
  </si>
  <si>
    <t>1 VINF BALBO TINTO 1125X + 1 GAS SCHWEP POMELO ZERO 1.5X</t>
  </si>
  <si>
    <t>AITOR IDER BALBO S.A.A.C.E.I.</t>
  </si>
  <si>
    <t>7790290101480 | 7790895006715</t>
  </si>
  <si>
    <t>1 FERM BRANCA MENTA 450X + 1 GAS SCHWEP TONICA 1.5X</t>
  </si>
  <si>
    <t>DISTRIBUIDORA JOTABE S.A.</t>
  </si>
  <si>
    <t>7790290002190 | 7790895006715</t>
  </si>
  <si>
    <t>1 FERM BRANCA MENTA 750X + 1 GAS SCHWEP TONICA 1.5X</t>
  </si>
  <si>
    <t>7790290001179 | 7790895000997</t>
  </si>
  <si>
    <t>1 FERN BRANCA 450X + 1 GAS COCA COLA ORIG PET 2.25X</t>
  </si>
  <si>
    <t>7790290001193 | 7790895000997</t>
  </si>
  <si>
    <t>1 FERN BRANCA 750X + 1 GAS COCA COLA ORIG PET 2.25X</t>
  </si>
  <si>
    <t>7790950000191 | 7790895001000</t>
  </si>
  <si>
    <t>1 APER AMERICANO GANCIA 450X + 1 GAS SPRITE ORIG PET 2.25X</t>
  </si>
  <si>
    <t>7790240117066 | 7790895006715</t>
  </si>
  <si>
    <t>1 GINI TANQUERAY DRY 750X + 1 GAS SCHWEP TONICA 1.5X</t>
  </si>
  <si>
    <t>DON SENDO S.A.</t>
  </si>
  <si>
    <t>7790139002886 | 7790895000997</t>
  </si>
  <si>
    <t>1 FERN 1882 450X + 1 GAS COCA COLA ORIG PET 2.25X</t>
  </si>
  <si>
    <t>7790139002879 | 7790895000997</t>
  </si>
  <si>
    <t>1 FERN 1882 750X + 1 GAS COCA COLA ORIG PET 2.25X</t>
  </si>
  <si>
    <t>7790290000523 | 7790895000997</t>
  </si>
  <si>
    <t>1 FERN BRANCA 1X + 1 GAS COCA COLA ORIG PET 2.25X</t>
  </si>
  <si>
    <t>754697521927 | 7790895006715</t>
  </si>
  <si>
    <t>1 GINN HEREDERO 700X + 1 GAS SCHWEP TONICA 1.5X</t>
  </si>
  <si>
    <t>MESOPOTAMIAN DRINKS S.A</t>
  </si>
  <si>
    <t>7791250001345 | 7790895010088</t>
  </si>
  <si>
    <t>1 VODK SMIRNOFF CLAS 700X + 1 GAS SCHWEP POMELO ZERO 1.5X</t>
  </si>
  <si>
    <t>7790290101510 | 7790895010088</t>
  </si>
  <si>
    <t>1 VODK SERNOVA CLASICO 700X + 1 GAS SCHWEP POMELO ZERO 1.5X</t>
  </si>
  <si>
    <t>7791200000619 | 7790895010088</t>
  </si>
  <si>
    <t>1 APER CYNAR HIGH PROOF 750X + 1 GAS SCHWEP POMELO ZERO 1.5X</t>
  </si>
  <si>
    <t>7790290101459 | 7790895000997</t>
  </si>
  <si>
    <t>1 FERN B.VITTONE SPECIALE 750X + 1 GAS COCA COLA ORIG PET 2.25X</t>
  </si>
  <si>
    <t>7790950134834 | 7790895006715</t>
  </si>
  <si>
    <t>1 VERM MARTINI BIANCO 1X + 1 GAS SCHWEP TONICA 1.5X</t>
  </si>
  <si>
    <t>7790950134117 | 7790895010088</t>
  </si>
  <si>
    <t>1 VERM PINERAL 750X + 1 GAS SCHWEP POMELO ZERO 1.5X</t>
  </si>
  <si>
    <t>7896010004526 | 7790895010088</t>
  </si>
  <si>
    <t>1 VODK SKYY INF.PASSION FRUIT 750X + 1 GAS SCHWEP POMELO ZERO 1.5X</t>
  </si>
  <si>
    <t>7896010000528 | 7790895010088</t>
  </si>
  <si>
    <t>1 VODK SKYY INF.RASPBERRY 750X + 1 GAS SCHWEP POMELO ZERO 1.5X</t>
  </si>
  <si>
    <t>7790950134810 | 7790895010088</t>
  </si>
  <si>
    <t>1 VERM MARTINI ROSSO 1X + 1 GAS SCHWEP POMELO ZERO 1.5X</t>
  </si>
  <si>
    <t>7791200000213 | 7790895010088</t>
  </si>
  <si>
    <t>1 VODK SKYY 750X + 1 GAS SCHWEP POMELO ZERO 1.5X</t>
  </si>
  <si>
    <t>7791250001857 | 7790895010088</t>
  </si>
  <si>
    <t>1 VODK SMIRNOFF GREEN APPLE 700X + 1 GAS SCHWEP POMELO ZERO 1.5X</t>
  </si>
  <si>
    <t>7791250001871 | 7790895010088</t>
  </si>
  <si>
    <t>1 VODK SMIRNOFF RASPBERRY 700X + 1 GAS SCHWEP POMELO ZERO 1.5X</t>
  </si>
  <si>
    <t>7791250002243 | 7790895010088</t>
  </si>
  <si>
    <t>1 VODK SMIRNOFF WATERMELON 700X + 1 GAS SCHWEP POMELO ZERO 1.5X</t>
  </si>
  <si>
    <t>7791843008317 | 7790895001000</t>
  </si>
  <si>
    <t>1 VINF BALBO BLANCO 1125X + 1 GAS SPRITE ORIG PET 2.25X</t>
  </si>
  <si>
    <t>7792410518673 | 7790895006715</t>
  </si>
  <si>
    <t>1 GINN ORLOFF TRAD 750X + 1 GAS SCHWEP TONICA 1.5X</t>
  </si>
  <si>
    <t>PERNOD RICARD ARGENTINA</t>
  </si>
  <si>
    <t>5000329002537 | 7790895006715</t>
  </si>
  <si>
    <t>1 GINI BEEFEATER 700X + 1 GAS SCHWEP TONICA 1.5X</t>
  </si>
  <si>
    <t>7791200000626 | 7790895010088</t>
  </si>
  <si>
    <t>1 APER CYNAR ORIG 750X + 1 GAS SCHWEP POMELO ZERO 1.5X</t>
  </si>
  <si>
    <t>7790290008192 | 7790895010088</t>
  </si>
  <si>
    <t>1 VERM CARPANO ROSSO 1X + 1 GAS SCHWEP POMELO ZERO 1.5X</t>
  </si>
  <si>
    <t>7798159947330 | 7790895006715</t>
  </si>
  <si>
    <t>1 GINN TERRIER OLD TOM 750X + 1 GAS SCHWEP TONICA 1.5X</t>
  </si>
  <si>
    <t>COSMOPOLITAN S.A.</t>
  </si>
  <si>
    <t>7798159948047 | 7790895006715</t>
  </si>
  <si>
    <t>1 GINN TERRIER PINK 750X + 1 GAS SCHWEP TONICA 1.5X</t>
  </si>
  <si>
    <t>7798159946234 | 7790895006715</t>
  </si>
  <si>
    <t>1 GINN TERRIER CITRIC 700X + 1 GAS SCHWEP TONICA 1.5X</t>
  </si>
  <si>
    <t>7798159947347 | 7790895006715</t>
  </si>
  <si>
    <t>1 GINN TERRIER WILD 750X + 1 GAS SCHWEP TONICA 1.5X</t>
  </si>
  <si>
    <t>7798159947316 | 7790895006715</t>
  </si>
  <si>
    <t>1 GINN TERRIER SPICY 750X + 1 GAS SCHWEP TONICA 1.5X</t>
  </si>
  <si>
    <t>7791200200606 | 7790895010088</t>
  </si>
  <si>
    <t>1 VODK SKYY INF.APRICOT 750X + 1 GAS SCHWEP POMELO ZERO 1.5X</t>
  </si>
  <si>
    <t>7791200200668 | 7790895010088</t>
  </si>
  <si>
    <t>1 VODK SKYY INF.COCONUT 750X + 1 GAS SCHWEP POMELO ZERO 1.5X</t>
  </si>
  <si>
    <t>7791200200620 | 7790895010088</t>
  </si>
  <si>
    <t>1 VODK SKYY INF.PINEAPPLE 750X + 1 GAS SCHWEP POMELO ZERO 1.5X</t>
  </si>
  <si>
    <t>5000291023462 | 7790895006715</t>
  </si>
  <si>
    <t>1 GINI TANQUERAY SEVILLA 700X + 1 GAS SCHWEP TONICA 1.5X</t>
  </si>
  <si>
    <t>7791540149924 | 7790895006715</t>
  </si>
  <si>
    <t>1 GINN GORDONS 700X + 1 GAS SCHWEP TONICA 1.5X</t>
  </si>
  <si>
    <t>42213277 | 7790895006715</t>
  </si>
  <si>
    <t>1 GINI MONKEY 47 DRY 500X + 1 GAS SCHWEP TONICA 1.5X</t>
  </si>
  <si>
    <t>5000299618424 | 7790895006715</t>
  </si>
  <si>
    <t>1 GINI BEEFEATER 1X + 1 GAS SCHWEP TONICA 1.5X</t>
  </si>
  <si>
    <t>5000299605950 | 7790895006715</t>
  </si>
  <si>
    <t>1 GINI BEEFEATER PINK 700X + 1 GAS SCHWEP TONICA 1.5X</t>
  </si>
  <si>
    <t>7640175740047 | 7790895006715</t>
  </si>
  <si>
    <t>1 GINI BOMBAY SAPPHIRE 750X + 1 GAS SCHWEP TONICA 1.5X</t>
  </si>
  <si>
    <t>7790950001969 | 7790895010088</t>
  </si>
  <si>
    <t>1 VERM AMARGO OBRERO 950X + 1 GAS SCHWEP POMELO ZERO 1.5X</t>
  </si>
  <si>
    <t>7790290101527 | 7790895010088</t>
  </si>
  <si>
    <t>1 VODK SERNOVA WILD BERRIES 700X + 1 GAS SCHWEP POMELO ZERO 1.5X</t>
  </si>
  <si>
    <t>7790290101534 | 7790895010088</t>
  </si>
  <si>
    <t>1 VODK SERNOVA FRESH CITRUS 700X + 1 GAS SCHWEP POMELO ZERO 1.5X</t>
  </si>
  <si>
    <t>7790290008291 | 7790895006715</t>
  </si>
  <si>
    <t>1 VERM CARPANO BLANCO 1X + 1 GAS SCHWEP TONICA 1.5X</t>
  </si>
  <si>
    <t>7791250003097 | 7790895010088</t>
  </si>
  <si>
    <t>1 VODK SMIRNOFF ORANGE-LIME 750X + 1 GAS SCHWEP POMELO ZERO 1.5X</t>
  </si>
  <si>
    <t>7791250003103 | 7790895010088</t>
  </si>
  <si>
    <t>1 VODK SMIRNOFF TANGE-LEMONGRASS 750X + 1 GAS SCHWEP POMELO ZERO 1.5X</t>
  </si>
  <si>
    <t>7792410522717 | 7790895006715</t>
  </si>
  <si>
    <t>1 GINN BRIGHTON 700X + 1 GAS SCHWEP TONICA 1.5X</t>
  </si>
  <si>
    <t>7798353191768 | 7790895006715</t>
  </si>
  <si>
    <t>1 GINN TERRIER SPICY ECO BOTTLE 750X + 1 GAS SCHWEP TONICA 1.5X</t>
  </si>
  <si>
    <t>5000299618240 | 7790895006715</t>
  </si>
  <si>
    <t>1 GINI BEEFEATER ORANGE 700X + 1 GAS SCHWEP TONICA 1.5X</t>
  </si>
  <si>
    <t>7792410523165 | 7790895000997</t>
  </si>
  <si>
    <t>1 FERN BUHERO 750X + 1 GAS COCA COLA ORIG PET 2.25X</t>
  </si>
  <si>
    <t>7790290101664 | 7790895010088</t>
  </si>
  <si>
    <t>1 VODK SERNOVA TROPICAL 700X + 1 GAS SCHWEP POMELO ZERO 1.5X</t>
  </si>
  <si>
    <t>7790290101657 | 7790895010088</t>
  </si>
  <si>
    <t>1 VODK SERNOVA SWEET APPLE 700X + 1 GAS SCHWEP POMELO ZERO 1.5X</t>
  </si>
  <si>
    <t>7640175742522 | 7790895006715</t>
  </si>
  <si>
    <t>1 GINI BOMBAY BRAMBLE 700X + 1 GAS SCHWEP TONICA 1.5X</t>
  </si>
  <si>
    <t>5000291026548 | 7790895006715</t>
  </si>
  <si>
    <t>1 GINI TANQUERAY ROYALE 700X + 1 GAS SCHWEP TONICA 1.5X</t>
  </si>
  <si>
    <t>7791200200712 | 7790895010088</t>
  </si>
  <si>
    <t>1 VERM CINZANO SEGUNDO 750X + 1 GAS SCHWEP POMELO ZERO 1.5X</t>
  </si>
  <si>
    <t>7798359223890 | 7790895006715</t>
  </si>
  <si>
    <t>1 GINN REPUBLICA APARTE 500X + 1 GAS SCHWEP TONICA 1.5X</t>
  </si>
  <si>
    <t>REPUBLICA APARTE</t>
  </si>
  <si>
    <t>763571871126 | 7790895010088</t>
  </si>
  <si>
    <t>1 VERM FEDERAL ROSSO 750X + 1 GAS SCHWEP POMELO ZERO 1.5X</t>
  </si>
  <si>
    <t>Andes Federales SA</t>
  </si>
  <si>
    <t>714604177456 | 7790895010088</t>
  </si>
  <si>
    <t>1 VERM FEDERAL ROSATTO 750X + 1 GAS SCHWEP POMELO ZERO 1.5X</t>
  </si>
  <si>
    <t>7792410779357 | 7790895006715</t>
  </si>
  <si>
    <t>1 APER RAMAZZOTTI ROSATO 700X + 1 GAS SCHWEP TONICA 1.5X</t>
  </si>
  <si>
    <t>7790290101718 | 7790895010088</t>
  </si>
  <si>
    <t>1 VODK SERNOVA CARIBEAN BLEND 700X + 1 GAS SCHWEP POMELO ZERO 1.5X</t>
  </si>
  <si>
    <t>7798162670966 | 7790895006715</t>
  </si>
  <si>
    <t>1 GINN PROFUGO LONDON DRY 750X + 1 GAS SCHWEP TONICA 1.5X</t>
  </si>
  <si>
    <t>AGROVIT RURAL S.A.</t>
  </si>
  <si>
    <t>7791728238723 | 7790895010088</t>
  </si>
  <si>
    <t>1 VERM LA FUERZA ROJO STYLO 750X + 1 GAS SCHWEP POMELO ZERO 1.5X</t>
  </si>
  <si>
    <t>LA AGRICOLA SA</t>
  </si>
  <si>
    <t>7791728238730 | 7790895006715</t>
  </si>
  <si>
    <t>1 VERM LA FUERZA BLANCO STYLO 750X + 1 GAS SCHWEP TONICA 1.5X</t>
  </si>
  <si>
    <t>7790290101756 | 7790895006715</t>
  </si>
  <si>
    <t>1 GINI SPIRITO BLU 700X + 1 GAS SCHWEP TONICA 1.5X</t>
  </si>
  <si>
    <t>7791200200774 | 7790895010088</t>
  </si>
  <si>
    <t>1 VODK SKYY INF.BLOOD ORANGE 750X + 1 GAS SCHWEP POMELO ZERO 1.5X</t>
  </si>
  <si>
    <t>7792410779500 | 7790895006715</t>
  </si>
  <si>
    <t>1 GINN BRIGHTON TANGERINE 700X + 1 GAS SCHWEP TONICA 1.5X</t>
  </si>
  <si>
    <t>7792410544023 | 7790895006715</t>
  </si>
  <si>
    <t>1 GINN BRIGHTON PINK 700X + 1 GAS SCHWEP TONICA 1.5X</t>
  </si>
  <si>
    <t>7792114000900 | 7790895010088</t>
  </si>
  <si>
    <t>1 VINF VIEJA MENDOZA RED BLEND 1125X + 1 GAS SCHWEP POMELO ZERO 1.5X</t>
  </si>
  <si>
    <t>ABRIL DISTRIBUCIONES S.A.</t>
  </si>
  <si>
    <t>714604120612 | 7790895006715</t>
  </si>
  <si>
    <t>1 GINN HEREDERO DRY 700X + 1 GAS SCHWEP TONICA 1.5X</t>
  </si>
  <si>
    <t>7798438340012 | 7790895010088</t>
  </si>
  <si>
    <t>1 VERM CARNERO ROSSO 750X + 1 GAS SCHWEP POMELO ZERO 1.5X</t>
  </si>
  <si>
    <t>763571869000 | 7790895006715</t>
  </si>
  <si>
    <t>1 GINN HEREDERO POMELO RDO 700X + 1 GAS SCHWEP TONICA 1.5X</t>
  </si>
  <si>
    <t>763571806012 | 7790895006715</t>
  </si>
  <si>
    <t>1 GINN HEREDERO PINK 700X + 1 GAS SCHWEP TONICA 1.5X</t>
  </si>
  <si>
    <t>7798359227089 | 7790895006715</t>
  </si>
  <si>
    <t>1 GINN REPUBLICA APARTE 750X + 1 GAS SCHWEP TONICA 1.5X</t>
  </si>
  <si>
    <t>5010327755014 | 7790895006715</t>
  </si>
  <si>
    <t>1 GINI HENDRICKS 700X + 1 GAS SCHWEP TONICA 1.5X</t>
  </si>
  <si>
    <t>BODEGA NORTON S.A.</t>
  </si>
  <si>
    <t>7798152264229 | 7790895010088</t>
  </si>
  <si>
    <t>1 VERM GUARDIANES ROSSO 750X + 1 GAS SCHWEP POMELO ZERO 1.5X</t>
  </si>
  <si>
    <t>DURIGUTTI FAMILY WINES</t>
  </si>
  <si>
    <t>7798377810010 | 7790895006715</t>
  </si>
  <si>
    <t>1 GINN ESTANISLAO 700X + 1 GAS SCHWEP TONICA 1.5X</t>
  </si>
  <si>
    <t>QUIMFINA S.R.L</t>
  </si>
  <si>
    <t>7798078237956 | 7790895010088</t>
  </si>
  <si>
    <t>1 VERM DESCONFIADO ROSSO 750X + 1 GAS SCHWEP POMELO ZERO 1.5X</t>
  </si>
  <si>
    <t>CODORNIU ARGENTINA SA</t>
  </si>
  <si>
    <t>7798377810034 | 7790895006715</t>
  </si>
  <si>
    <t>1 GINN ESTANISLAO FRUTILLA 700X + 1 GAS SCHWEP TONICA 1.5X</t>
  </si>
  <si>
    <t>8411144101157 | 7790895006715</t>
  </si>
  <si>
    <t>1 GINI LARIOS 700X + 1 GAS SCHWEP TONICA 1.5X</t>
  </si>
  <si>
    <t>8411144100402 | 7790895006715</t>
  </si>
  <si>
    <t>1 GINI LARIOS ROSE 700X + 1 GAS SCHWEP TONICA 1.5X</t>
  </si>
  <si>
    <t>7791200200811 | 7790895010088</t>
  </si>
  <si>
    <t>1 VODK SKYY INF.COSMIC 750X + 1 GAS SCHWEP POMELO ZERO 1.5X</t>
  </si>
  <si>
    <t>7790290101787 | 7790895010088</t>
  </si>
  <si>
    <t>1 VODK SERNOVA CANDY GLOW 700X + 1 GAS SCHWEP POMELO ZERO 1.5X</t>
  </si>
  <si>
    <t>7791203889525 | 7790895010088</t>
  </si>
  <si>
    <t>1 VERM L.BOSCA JUANA ROSSO 750X + 1 GAS SCHWEP POMELO ZERO 1.5X</t>
  </si>
  <si>
    <t>LEONCIO ARIZU S A</t>
  </si>
  <si>
    <t>714604120674 | 7790895006715</t>
  </si>
  <si>
    <t>1 GINN HEREDERO LIMON Y GINGER 700X + 1 GAS SCHWEP TONICA 1.5X</t>
  </si>
  <si>
    <t>7791843027981 | 7790895001000</t>
  </si>
  <si>
    <t>1 VINF BALBO DULCE BCO. 1125X + 1 GAS SPRITE ORIG PET 2.25X</t>
  </si>
  <si>
    <t>COD_INT1</t>
  </si>
  <si>
    <t>7790290101817| 7790895000997</t>
  </si>
  <si>
    <t>1 FERN BRANCA MUNDIAL 750X + 1 GAS COCA COLA ORIG PET 2.25X</t>
  </si>
  <si>
    <t>2348|1187</t>
  </si>
  <si>
    <t>2349|1187</t>
  </si>
  <si>
    <t>10495|1187</t>
  </si>
  <si>
    <t>5433|1187</t>
  </si>
  <si>
    <t>7119|1187</t>
  </si>
  <si>
    <t>9061|1187</t>
  </si>
  <si>
    <t>13597|1187</t>
  </si>
  <si>
    <t>662656|1187</t>
  </si>
  <si>
    <t>852|1214</t>
  </si>
  <si>
    <t>3991|1214</t>
  </si>
  <si>
    <t>102158|1214</t>
  </si>
  <si>
    <t>666940|1214</t>
  </si>
  <si>
    <t>2346|5747</t>
  </si>
  <si>
    <t>2347|5747</t>
  </si>
  <si>
    <t>4087|5747</t>
  </si>
  <si>
    <t>9678|5747</t>
  </si>
  <si>
    <t>14497|5747</t>
  </si>
  <si>
    <t>102228|5747</t>
  </si>
  <si>
    <t>656999|5747</t>
  </si>
  <si>
    <t>659081|5747</t>
  </si>
  <si>
    <t>659082|5747</t>
  </si>
  <si>
    <t>659083|5747</t>
  </si>
  <si>
    <t>659084|5747</t>
  </si>
  <si>
    <t>659085|5747</t>
  </si>
  <si>
    <t>659577|5747</t>
  </si>
  <si>
    <t>659578|5747</t>
  </si>
  <si>
    <t>659586|5747</t>
  </si>
  <si>
    <t>659587|5747</t>
  </si>
  <si>
    <t>659588|5747</t>
  </si>
  <si>
    <t>659597|5747</t>
  </si>
  <si>
    <t>660239|5747</t>
  </si>
  <si>
    <t>660645|5747</t>
  </si>
  <si>
    <t>661174|5747</t>
  </si>
  <si>
    <t>661181|5747</t>
  </si>
  <si>
    <t>662978|5747</t>
  </si>
  <si>
    <t>662995|5747</t>
  </si>
  <si>
    <t>663458|5747</t>
  </si>
  <si>
    <t>664283|5747</t>
  </si>
  <si>
    <t>664429|5747</t>
  </si>
  <si>
    <t>664431|5747</t>
  </si>
  <si>
    <t>664465|5747</t>
  </si>
  <si>
    <t>664583|5747</t>
  </si>
  <si>
    <t>664590|5747</t>
  </si>
  <si>
    <t>664762|5747</t>
  </si>
  <si>
    <t>665126|5747</t>
  </si>
  <si>
    <t>665172|5747</t>
  </si>
  <si>
    <t>665251|5747</t>
  </si>
  <si>
    <t>665365|5747</t>
  </si>
  <si>
    <t>665715|5747</t>
  </si>
  <si>
    <t>666231|5747</t>
  </si>
  <si>
    <t>666232|5747</t>
  </si>
  <si>
    <t>666233|5747</t>
  </si>
  <si>
    <t>666750|5747</t>
  </si>
  <si>
    <t>853|666793</t>
  </si>
  <si>
    <t>1026|666793</t>
  </si>
  <si>
    <t>11241|666793</t>
  </si>
  <si>
    <t>11511|666793</t>
  </si>
  <si>
    <t>12822|666793</t>
  </si>
  <si>
    <t>17916|666793</t>
  </si>
  <si>
    <t>18244|666793</t>
  </si>
  <si>
    <t>18245|666793</t>
  </si>
  <si>
    <t>19874|666793</t>
  </si>
  <si>
    <t>19930|666793</t>
  </si>
  <si>
    <t>20254|666793</t>
  </si>
  <si>
    <t>20255|666793</t>
  </si>
  <si>
    <t>20257|666793</t>
  </si>
  <si>
    <t>657003|666793</t>
  </si>
  <si>
    <t>657998|666793</t>
  </si>
  <si>
    <t>659569|666793</t>
  </si>
  <si>
    <t>659570|666793</t>
  </si>
  <si>
    <t>659571|666793</t>
  </si>
  <si>
    <t>659646|666793</t>
  </si>
  <si>
    <t>660196|666793</t>
  </si>
  <si>
    <t>660197|666793</t>
  </si>
  <si>
    <t>660566|666793</t>
  </si>
  <si>
    <t>660567|666793</t>
  </si>
  <si>
    <t>662858|666793</t>
  </si>
  <si>
    <t>662859|666793</t>
  </si>
  <si>
    <t>663399|666793</t>
  </si>
  <si>
    <t>663751|666793</t>
  </si>
  <si>
    <t>663752|666793</t>
  </si>
  <si>
    <t>664372|666793</t>
  </si>
  <si>
    <t>664430|666793</t>
  </si>
  <si>
    <t>664530|666793</t>
  </si>
  <si>
    <t>664710|666793</t>
  </si>
  <si>
    <t>664766|666793</t>
  </si>
  <si>
    <t>665460|666793</t>
  </si>
  <si>
    <t>666113|666793</t>
  </si>
  <si>
    <t>666360|666793</t>
  </si>
  <si>
    <t>666552|666793</t>
  </si>
  <si>
    <t>666573|666793</t>
  </si>
  <si>
    <t>DESTACADO</t>
  </si>
  <si>
    <t xml:space="preserve">CERV QUILMES CRISTAL LAT 473X                     </t>
  </si>
  <si>
    <t xml:space="preserve">CERV BRAHMA LAT 473X                              </t>
  </si>
  <si>
    <t xml:space="preserve">CERV QUILMES 1890 LAT 473X                        </t>
  </si>
  <si>
    <t>27% OFF</t>
  </si>
  <si>
    <t xml:space="preserve">CERV STELLA ARTOIS LAT 473X                       </t>
  </si>
  <si>
    <t xml:space="preserve">CERV CORONA L.NECK 330X                           </t>
  </si>
  <si>
    <t xml:space="preserve">CERV STELLA ARTOIS L.NECK 330X                    </t>
  </si>
  <si>
    <t xml:space="preserve">CERD CORONA BOT 710X                              </t>
  </si>
  <si>
    <t xml:space="preserve">CERV ANDES ORIGEN ORO 473X                        </t>
  </si>
  <si>
    <t>lleva 2 paga 1</t>
  </si>
  <si>
    <t xml:space="preserve">CERV CORONA LAT 473X                              </t>
  </si>
  <si>
    <t xml:space="preserve">CERV QUILMES 0% LAT 473X                          </t>
  </si>
  <si>
    <t xml:space="preserve">CERV MICHELOB ULTRA LAT 473X                      </t>
  </si>
  <si>
    <t xml:space="preserve">CERV STELLA ARTOIS 0% LAT 473X                    </t>
  </si>
  <si>
    <t xml:space="preserve">CERV STELLA ARTOIS 0% L.N 330X                    </t>
  </si>
  <si>
    <t xml:space="preserve">CERV CORONA 0% L.NE CK 330X                       </t>
  </si>
  <si>
    <t>11% OFF</t>
  </si>
  <si>
    <t>22% OFF</t>
  </si>
  <si>
    <t>29% OFF</t>
  </si>
  <si>
    <t>31% OFF</t>
  </si>
  <si>
    <t>43% OFF</t>
  </si>
  <si>
    <t>45% OFF</t>
  </si>
  <si>
    <t>15%OFF</t>
  </si>
  <si>
    <t>2da  al 50%</t>
  </si>
  <si>
    <t xml:space="preserve">GAS COCA COLA S/AZUC PET 600X                     </t>
  </si>
  <si>
    <t>3 unidades</t>
  </si>
  <si>
    <t>lleva 3 paga 2</t>
  </si>
  <si>
    <t xml:space="preserve">GAS  COCA COLA ORIG PET 600X                      </t>
  </si>
  <si>
    <t xml:space="preserve">GAS  FANTA NJA 500X                               </t>
  </si>
  <si>
    <t xml:space="preserve">GAS  SPRITE ORIG PET 500X                         </t>
  </si>
  <si>
    <t xml:space="preserve">GAS  COCA COLA ORIG PET 1.5X                      </t>
  </si>
  <si>
    <t xml:space="preserve">GAS  FANTA NJA PET 1.5X                           </t>
  </si>
  <si>
    <t xml:space="preserve">GAS  FANTA NJA S/AZ PET 1.5X                      </t>
  </si>
  <si>
    <t xml:space="preserve">GAS  SCHWEP POMELO ZERO 1.5X                      </t>
  </si>
  <si>
    <t xml:space="preserve">GAS  SCHWEP TONICA 1.5X                           </t>
  </si>
  <si>
    <t xml:space="preserve">GAS  SPRITE ORIG PET 1.5X                         </t>
  </si>
  <si>
    <t xml:space="preserve">GAS  SPRITE S/AZUC PET 1.5X                       </t>
  </si>
  <si>
    <t xml:space="preserve">GAS COCA COLA S/AZUC PET 1.5X                     </t>
  </si>
  <si>
    <t xml:space="preserve">AGUA BENEDICTINO BID S/G 6.25X                    </t>
  </si>
  <si>
    <t xml:space="preserve">SODA BENEDICTINO SIFON 2X                         </t>
  </si>
  <si>
    <t>OF $1499</t>
  </si>
  <si>
    <t xml:space="preserve">AGUA BENEDICTINO PET S/G 600X                     </t>
  </si>
  <si>
    <t xml:space="preserve">AGUA BENEDICTINO PET C/G 600X                     </t>
  </si>
  <si>
    <t xml:space="preserve">AGUS AQUARIUS NJA 500X                            </t>
  </si>
  <si>
    <t xml:space="preserve">AGUS AQUARIUS POM RDO 500X                        </t>
  </si>
  <si>
    <t xml:space="preserve">AGUS AQUARIUS PERA 500X                           </t>
  </si>
  <si>
    <t xml:space="preserve">AGUS AQUARIUS MZNA 500X                           </t>
  </si>
  <si>
    <t xml:space="preserve">AGUS AQUARIUS POMELO 500X                         </t>
  </si>
  <si>
    <t xml:space="preserve">JUGN CEPITA DUR DELIC BOT 300X                    </t>
  </si>
  <si>
    <t xml:space="preserve">JUGN CEPITA NJA DELIC BOT 300X                    </t>
  </si>
  <si>
    <t xml:space="preserve">JUGN CEPITA ANANA MAND BOT 300X                   </t>
  </si>
  <si>
    <t xml:space="preserve">JUGN CEPITA FRUT MANGO BOT 300X                   </t>
  </si>
  <si>
    <t xml:space="preserve">JUGN CEPITA NJA 200X                              </t>
  </si>
  <si>
    <t xml:space="preserve">JUGN CEPITA MZNA 200X                             </t>
  </si>
  <si>
    <t xml:space="preserve">JUGN CEPITA MULT 200X                             </t>
  </si>
  <si>
    <t xml:space="preserve">BISO POWERADE FRU.TROP PET 500X                   </t>
  </si>
  <si>
    <t xml:space="preserve">BISO POWERADE MZNA PET 500X                       </t>
  </si>
  <si>
    <t xml:space="preserve">BISO POWERADE M.BLAST PET 500X                    </t>
  </si>
  <si>
    <t xml:space="preserve">BISO POWERADE UVA 500X                            </t>
  </si>
  <si>
    <t xml:space="preserve">BISO POWERADE MANZANA VERDE 500X                  </t>
  </si>
  <si>
    <t xml:space="preserve">GAS COCA COLA S/AZUC PET 2.25X                    </t>
  </si>
  <si>
    <t xml:space="preserve">GAS  COCA COLA ORIG PET 2.25X                     </t>
  </si>
  <si>
    <t xml:space="preserve">GAS  FANTA NARANJA 2.25X                          </t>
  </si>
  <si>
    <t xml:space="preserve">GAS  SPRITE ORIG PET 2.25X                        </t>
  </si>
  <si>
    <t xml:space="preserve">GAS  SCHWEP TONICA 2.25X                          </t>
  </si>
  <si>
    <t xml:space="preserve">AGUA BENEDICTINO S/G 3X                           </t>
  </si>
  <si>
    <t xml:space="preserve">JUGN CEPITA NJA DELIC BOT 1.5X                    </t>
  </si>
  <si>
    <t xml:space="preserve">JUGN CEPITA ANANA DELIC BOT 1.5X                  </t>
  </si>
  <si>
    <t xml:space="preserve">JUGN CEPITA DUR DELIC BOT 1.5X                    </t>
  </si>
  <si>
    <t xml:space="preserve">JUGN CEPITA FRESH NJA 1.5X                        </t>
  </si>
  <si>
    <t xml:space="preserve">JUGN CEPITA MZANA ROJA BOT 1.5X                   </t>
  </si>
  <si>
    <t xml:space="preserve">JUGN CEPITA FRESH POM 1.5X                        </t>
  </si>
  <si>
    <t xml:space="preserve">JUGN CEPITAFRESH MZNA 1.5X                        </t>
  </si>
  <si>
    <t xml:space="preserve">JUGN CEPITA NJA TENTAC BOT 1X                     </t>
  </si>
  <si>
    <t xml:space="preserve">JUGN CEPITA DURAZNO TENT 1X                       </t>
  </si>
  <si>
    <t xml:space="preserve">JUGN CEPITA ANANA MAND 1X                         </t>
  </si>
  <si>
    <t xml:space="preserve">JUGN CEPITA FRUT MANGO 1X                         </t>
  </si>
  <si>
    <t xml:space="preserve">AGUS AQUARIUS MZNA 2.25X                          </t>
  </si>
  <si>
    <t xml:space="preserve">AGUS AQUARIUS LIMONADA 2.25X                      </t>
  </si>
  <si>
    <t xml:space="preserve">AGUS AQUARIUS NJA 2.25X                           </t>
  </si>
  <si>
    <t xml:space="preserve">AGUS AQUARIUS POMELO 2.25X                        </t>
  </si>
  <si>
    <t xml:space="preserve">AGUS AQUARIUS PERA 2.25X                          </t>
  </si>
  <si>
    <t xml:space="preserve">AGUS AQUARIUS POM RDO 2.25X                       </t>
  </si>
  <si>
    <t xml:space="preserve">BISO POWERADE FRU.TROP PET 995X                   </t>
  </si>
  <si>
    <t xml:space="preserve">BISO POWERADE M.BLAST PET 995X                    </t>
  </si>
  <si>
    <t xml:space="preserve">BISO POWERADE MANZANA 995X                        </t>
  </si>
  <si>
    <t xml:space="preserve">CERV ESTRELLA GALICIA 473X                        </t>
  </si>
  <si>
    <t>BEBIDAS</t>
  </si>
  <si>
    <t>CONGELADOS</t>
  </si>
  <si>
    <t>27/06/026</t>
  </si>
  <si>
    <t>solo armenia/cazadores paysandu</t>
  </si>
  <si>
    <t xml:space="preserve">GAS  PEPSI ORIGINAL PET 2X                        </t>
  </si>
  <si>
    <t xml:space="preserve">GAS  7-UP PET 2X                                  </t>
  </si>
  <si>
    <t xml:space="preserve">GAS PDT POM PET 2X                                </t>
  </si>
  <si>
    <t xml:space="preserve">GAS  PDT POM 1.5X                                 </t>
  </si>
  <si>
    <t>2do al 80%</t>
  </si>
  <si>
    <t xml:space="preserve">GAS  PDT TON 1.5X                                 </t>
  </si>
  <si>
    <t xml:space="preserve">GAS  PEPSI BLACK PET 2X                           </t>
  </si>
  <si>
    <t xml:space="preserve">GAS  PEPSI ORIGINAL LATA 354X                     </t>
  </si>
  <si>
    <t xml:space="preserve">GAS  PEPSI BLACK LAT 354X                         </t>
  </si>
  <si>
    <t xml:space="preserve">AGUA ECO-ANDES S/GAS 500X                         </t>
  </si>
  <si>
    <t xml:space="preserve">AGUA ECO-ANDES S/GAS 1.5 X                        </t>
  </si>
  <si>
    <t xml:space="preserve">MR0012              </t>
  </si>
  <si>
    <t xml:space="preserve">VINF RICCITELLI HEY  ROSE 750X                    </t>
  </si>
  <si>
    <t>5% OFF</t>
  </si>
  <si>
    <t xml:space="preserve">BODEGA                                            </t>
  </si>
  <si>
    <t xml:space="preserve">VINE FLIA.GASCON MALBEC EST 750X                  </t>
  </si>
  <si>
    <t xml:space="preserve">VINE M.E.G PEQ.PROD MALBEC EST 750X               </t>
  </si>
  <si>
    <t xml:space="preserve">VINF AIME C.SAUV. 750X                            </t>
  </si>
  <si>
    <t xml:space="preserve">VINF AIME MALBEC 750X                             </t>
  </si>
  <si>
    <t xml:space="preserve">VINF AIME RED BLEND 750X                          </t>
  </si>
  <si>
    <t xml:space="preserve">3392-NV             </t>
  </si>
  <si>
    <t xml:space="preserve">VINF ALAMOS  DULCE BCO. 750X                      </t>
  </si>
  <si>
    <t xml:space="preserve">VINF ALAMOS CHARDONNAY 750X                       </t>
  </si>
  <si>
    <t xml:space="preserve">3190-23SC           </t>
  </si>
  <si>
    <t xml:space="preserve">VINF ALAMOS MALBEC MAC ATEN 750X                  </t>
  </si>
  <si>
    <t xml:space="preserve">VINF ALAMOS MOSCATEL ALEJANDRIA 750X              </t>
  </si>
  <si>
    <t xml:space="preserve">3342-22SC           </t>
  </si>
  <si>
    <t xml:space="preserve">VINF ALAMOS RES PINOT NOIR 750X                   </t>
  </si>
  <si>
    <t xml:space="preserve">VINF ALMA MORA DULCE BCO. 750X                    </t>
  </si>
  <si>
    <t xml:space="preserve">VINF ALMA MORA RES C.SAUV. 750X                   </t>
  </si>
  <si>
    <t xml:space="preserve">VINF ALMA MORA RES CHARDONNAY 750X                </t>
  </si>
  <si>
    <t xml:space="preserve">VINF ALMA NEGRA B.BLANCS. 750X                    </t>
  </si>
  <si>
    <t xml:space="preserve">VINF ALTALAND C.SAUV. 750X                        </t>
  </si>
  <si>
    <t xml:space="preserve">VINF ALTALAND RED BLEND HISTORICO 750X            </t>
  </si>
  <si>
    <t xml:space="preserve">VINF ALTALAND TORRONTES 750X                      </t>
  </si>
  <si>
    <t xml:space="preserve">P05039              </t>
  </si>
  <si>
    <t xml:space="preserve">VINF ANITA C.FRANC 750X                           </t>
  </si>
  <si>
    <t xml:space="preserve">P05011              </t>
  </si>
  <si>
    <t xml:space="preserve">VINF ANITA CHARDONNAY 750X                        </t>
  </si>
  <si>
    <t xml:space="preserve">VINF BENJAMIN CHARDONNAY 750X                     </t>
  </si>
  <si>
    <t xml:space="preserve">VINF BLEND EXTREMOS C.SAUV. 750X                  </t>
  </si>
  <si>
    <t xml:space="preserve">VINF BRAVIO C.SAUV.  X750                         </t>
  </si>
  <si>
    <t xml:space="preserve">VINF BRAVIO MALBEC 750X                           </t>
  </si>
  <si>
    <t xml:space="preserve">VINF CARA SUCIA B.BLANCS. 750X                    </t>
  </si>
  <si>
    <t xml:space="preserve">VINF CARMELA MALBEC 750X                          </t>
  </si>
  <si>
    <t xml:space="preserve">VINF CARMELA RES MALBEC 750X                      </t>
  </si>
  <si>
    <t xml:space="preserve">VINF CAS DIABLO CHARDONNAY 750X                   </t>
  </si>
  <si>
    <t xml:space="preserve">VINF CAS DIABLO MUNITED RED BLEND 750X            </t>
  </si>
  <si>
    <t xml:space="preserve">VINF CAS DIABLO ROSE 750X                         </t>
  </si>
  <si>
    <t xml:space="preserve">VINF CASA BOHER AGRELO VIOGNIER 750X              </t>
  </si>
  <si>
    <t xml:space="preserve">CAB005              </t>
  </si>
  <si>
    <t xml:space="preserve">VINF CASA BOHER C.FRANC 750X                      </t>
  </si>
  <si>
    <t xml:space="preserve">CAB003              </t>
  </si>
  <si>
    <t xml:space="preserve">VINF CASA BOHER MERLOT 750X                       </t>
  </si>
  <si>
    <t xml:space="preserve">CAB007              </t>
  </si>
  <si>
    <t xml:space="preserve">VINF CASA BOHER ROSE 750X                         </t>
  </si>
  <si>
    <t xml:space="preserve">CAB009              </t>
  </si>
  <si>
    <t xml:space="preserve">VINF CASA BOHER S.BLANC. 750X                     </t>
  </si>
  <si>
    <t xml:space="preserve">VINF CEPA TRAD RED BLEND 750X                     </t>
  </si>
  <si>
    <t xml:space="preserve">VINF CLOS DE SIETE MALBEC 2020 750X               </t>
  </si>
  <si>
    <t xml:space="preserve">VINF COMPUERTAS BONARDA 750X                      </t>
  </si>
  <si>
    <t xml:space="preserve">VINF D.NICANOR BAR SELEC MALBEC 750X              </t>
  </si>
  <si>
    <t xml:space="preserve">VINF D.NICANOR C.SAUV. 750X                       </t>
  </si>
  <si>
    <t xml:space="preserve">VINF DADA N1 RED BLEND 750X                       </t>
  </si>
  <si>
    <t xml:space="preserve">VINF DADA N2 RED BLEND 750X                       </t>
  </si>
  <si>
    <t xml:space="preserve">VINF DADA N3 RED BLEND 750X                       </t>
  </si>
  <si>
    <t xml:space="preserve">VINF DOMINIO CHARDONNAY 750X                      </t>
  </si>
  <si>
    <t xml:space="preserve">VINF DOMINIO RUTINI GRAN MALBEC 750X              </t>
  </si>
  <si>
    <t xml:space="preserve">VINF DON DAVID C.SAUV. 750X                       </t>
  </si>
  <si>
    <t xml:space="preserve">VINF DON DAVID CHARDONNAY 750X                    </t>
  </si>
  <si>
    <t xml:space="preserve">VINF DURIGUTTI B.BLANCS. 750X                     </t>
  </si>
  <si>
    <t xml:space="preserve">VINF DURIGUTTI C.FRANC 750X                       </t>
  </si>
  <si>
    <t xml:space="preserve">VINF DURIGUTTI C.SAUV. 750X                       </t>
  </si>
  <si>
    <t xml:space="preserve">VINF DURIGUTTI CORTE UNICO RED BLEND 750X         </t>
  </si>
  <si>
    <t xml:space="preserve">VINF DURIGUTTI FAMILIA MALBEC 750X                </t>
  </si>
  <si>
    <t xml:space="preserve">VINF DURIGUTTI RES BONARDA 750X                   </t>
  </si>
  <si>
    <t xml:space="preserve">VINF DURIGUTTI RES C.FRANC 750X                   </t>
  </si>
  <si>
    <t xml:space="preserve">VINF DURIGUTTI RES C.SAUV. 750X                   </t>
  </si>
  <si>
    <t xml:space="preserve">VINF DURIGUTTI RES MALBEC 750X                    </t>
  </si>
  <si>
    <t xml:space="preserve">VINF DURIGUTTI VICTORIA C.FINCA 750X              </t>
  </si>
  <si>
    <t xml:space="preserve">VINF DVCATENA PINOT NOIR 750X                     </t>
  </si>
  <si>
    <t xml:space="preserve">2301-22             </t>
  </si>
  <si>
    <t xml:space="preserve">VINF DVCATENA SYRAH SYRAH 750X                    </t>
  </si>
  <si>
    <t xml:space="preserve">VINF EL GUAPO C.FRANC 750X                        </t>
  </si>
  <si>
    <t xml:space="preserve">VINF EL REGRESO CHENIN  750X                      </t>
  </si>
  <si>
    <t xml:space="preserve">VINF EL RIE ULTIMO RIE MEJOR TANNAT 750X          </t>
  </si>
  <si>
    <t xml:space="preserve">VINF ENCUENTRO C.SAUV. 750X                       </t>
  </si>
  <si>
    <t xml:space="preserve">VINF ESMERALDA C.SAUV. 750X                       </t>
  </si>
  <si>
    <t xml:space="preserve">VINF F.MONTMAYOU TERR C.FRANC. 750X               </t>
  </si>
  <si>
    <t xml:space="preserve">VINF F.MONTMAYOU TERR C.SAUV. 750X                </t>
  </si>
  <si>
    <t xml:space="preserve">VINF FLICHMAN EXPRE BARRANCAS MALBEC 750X         </t>
  </si>
  <si>
    <t xml:space="preserve">VINF FLICHMAN EXPRE TUPUNGATO MALBEC 750X         </t>
  </si>
  <si>
    <t xml:space="preserve">VINF FLICHMAN GRAN RES MALBEC 750X                </t>
  </si>
  <si>
    <t xml:space="preserve">VINF FLICHMAN RES C.FRANC. 750X                   </t>
  </si>
  <si>
    <t xml:space="preserve">VINF FLICHMAN RES C.SAUV. 750X                    </t>
  </si>
  <si>
    <t xml:space="preserve">VINF FLICHMAN RES MALBEC 750X                     </t>
  </si>
  <si>
    <t xml:space="preserve">VINF FLICHMAN ROSE 750X                           </t>
  </si>
  <si>
    <t xml:space="preserve">VINF FOND DE CAVE C.SAUV. 750                     </t>
  </si>
  <si>
    <t xml:space="preserve">VINF FOND DE CAVE CHARDONNAY 750X                 </t>
  </si>
  <si>
    <t xml:space="preserve">VINF FRAN C.SAUV. 750X                            </t>
  </si>
  <si>
    <t xml:space="preserve">VINF FUEGO BLANCO. MALBEC 750X                    </t>
  </si>
  <si>
    <t xml:space="preserve">VINF GRAN NACHA RED BLEND GN-SY 750X              </t>
  </si>
  <si>
    <t xml:space="preserve">VINF H.J.F.MONTMAYOU RED BLEND MB-CF 750X         </t>
  </si>
  <si>
    <t xml:space="preserve">VINF H.J.F.MONTMAYOU RED BLEND MB-PN 750X         </t>
  </si>
  <si>
    <t xml:space="preserve">VINF H.J.F.MONTMAYOU RED BLEND MB-RS 750X         </t>
  </si>
  <si>
    <t xml:space="preserve">VINF HD DURIGUTTI GRAN RES MALBEC 750X            </t>
  </si>
  <si>
    <t xml:space="preserve">VINF HD DURIGUTTI RES MALBEC 750X                 </t>
  </si>
  <si>
    <t xml:space="preserve">VINF INFRAMUNDO NARANJO 750X                      </t>
  </si>
  <si>
    <t xml:space="preserve">VINF INFRAMUNDO ROSE 750X                         </t>
  </si>
  <si>
    <t xml:space="preserve">VINF LAPOSTA B.BLANCS. 750X                       </t>
  </si>
  <si>
    <t xml:space="preserve">VINF LAPOSTA FAZZIO MALBEC 750X                   </t>
  </si>
  <si>
    <t xml:space="preserve">VINF LAPOSTA PAULUCCI MALBEC 750X                 </t>
  </si>
  <si>
    <t xml:space="preserve">VINF LAPOSTA PIZZELLA MALBEC 750X                 </t>
  </si>
  <si>
    <t xml:space="preserve">VINF LAS COMPUERTAS C.FRANC 750X                  </t>
  </si>
  <si>
    <t xml:space="preserve">VINF LOS DURMIENTES C.SAUV. 750X                  </t>
  </si>
  <si>
    <t xml:space="preserve">VINF LOS DURMIENTES MALBEC 750X                   </t>
  </si>
  <si>
    <t xml:space="preserve">VINF LOS INTOCABLES C.SAUV. 750X                  </t>
  </si>
  <si>
    <t xml:space="preserve">B0900200002         </t>
  </si>
  <si>
    <t xml:space="preserve">VINF LUCA MALBEC EST 750X                         </t>
  </si>
  <si>
    <t xml:space="preserve">VINF LUCA SYRAH 750X                              </t>
  </si>
  <si>
    <t xml:space="preserve">VINF MALCRIADO MALBEC 750X                        </t>
  </si>
  <si>
    <t xml:space="preserve">VINF MARA BONARDA 750X                            </t>
  </si>
  <si>
    <t xml:space="preserve">VINF MOSQUITA MUERTA BLACK C.SAUV. 750X           </t>
  </si>
  <si>
    <t xml:space="preserve">VINF MOSQUITA MUERTA RED BLEND 750X               </t>
  </si>
  <si>
    <t xml:space="preserve">VINF N.CORREA CHARDONNAY 750                      </t>
  </si>
  <si>
    <t xml:space="preserve">VINF N.CORREA RES C.SAUV. 750X                    </t>
  </si>
  <si>
    <t xml:space="preserve">VINF N.CORREA RES MALBEC 750                      </t>
  </si>
  <si>
    <t xml:space="preserve">VINF N.SENET RED BLEND MB-CS-PV  750X             </t>
  </si>
  <si>
    <t xml:space="preserve">VINF N.SENETINER BONARDA 750X                     </t>
  </si>
  <si>
    <t xml:space="preserve">VINF N.SENETINER CHARDONNAY 750X                  </t>
  </si>
  <si>
    <t xml:space="preserve">VINF N.SENETINER RES SEMILLON DOC 750X            </t>
  </si>
  <si>
    <t xml:space="preserve">SNCF1*              </t>
  </si>
  <si>
    <t xml:space="preserve">VINF NUMINA C.FRANC 750X                          </t>
  </si>
  <si>
    <t xml:space="preserve">SNB1*               </t>
  </si>
  <si>
    <t xml:space="preserve">VINF NUMINA GRAN CORTE RED BLEND 750X             </t>
  </si>
  <si>
    <t xml:space="preserve">SNM1*               </t>
  </si>
  <si>
    <t xml:space="preserve">VINF NUMINA MALBEC 750X                           </t>
  </si>
  <si>
    <t xml:space="preserve">VINF ORIGEN BY TRAPICHE C.SAUV. 750X              </t>
  </si>
  <si>
    <t xml:space="preserve">VINF ORIGEN BY TRAPICHE MALBEC 750X               </t>
  </si>
  <si>
    <t xml:space="preserve">VINF PADRILLOS B.BLANCS 750X                      </t>
  </si>
  <si>
    <t xml:space="preserve">VINF PADRILLOS MALBEC 750X                        </t>
  </si>
  <si>
    <t xml:space="preserve">VINF PADRILLOS PINOT NOIR 750X                    </t>
  </si>
  <si>
    <t xml:space="preserve">VINF PALO SANTO C.FRANC. 750X                     </t>
  </si>
  <si>
    <t xml:space="preserve">VINF PALO SANTO MALBEC 750X                       </t>
  </si>
  <si>
    <t xml:space="preserve">VINF PASARISA TORRONTES 750X                      </t>
  </si>
  <si>
    <t xml:space="preserve">VINF PERLITA MALBEC 750X                          </t>
  </si>
  <si>
    <t xml:space="preserve">23064P              </t>
  </si>
  <si>
    <t xml:space="preserve">VINF PISPI RED BLEND 750X                         </t>
  </si>
  <si>
    <t xml:space="preserve">VINF POLIGONOS GUALTALLARY MALBEC 750X            </t>
  </si>
  <si>
    <t xml:space="preserve">VINF POLIGONOS PARAJE ALTAMIRA MALBEC 2022 750X   </t>
  </si>
  <si>
    <t xml:space="preserve">VINF POLIGONOS SAN PABLO VERDEJO 2023 750X        </t>
  </si>
  <si>
    <t xml:space="preserve">VINF POLIGONOS TUPUNGATO SEMILLON 2023 750X       </t>
  </si>
  <si>
    <t xml:space="preserve">VINF RUCAMALEN C.SAUV. 750X                       </t>
  </si>
  <si>
    <t xml:space="preserve">VINF RUCAMALEN CAP DOS C.SAUV. 750X               </t>
  </si>
  <si>
    <t xml:space="preserve">VINF RUCAMALEN CAP DOS MALBEC 750X                </t>
  </si>
  <si>
    <t xml:space="preserve">VINF RUCAMALEN CAP UNO C.SAUV. 750X               </t>
  </si>
  <si>
    <t xml:space="preserve">VINF RUCAMALEN CAP UNO MALBEC 750X                </t>
  </si>
  <si>
    <t xml:space="preserve">VINF RUCAMALEN MALBEC 750X                        </t>
  </si>
  <si>
    <t xml:space="preserve">VINF RUCAMALEN RES C.SAUV. X750                   </t>
  </si>
  <si>
    <t xml:space="preserve">VINF RUCAMALEN RES CHARDONNAY 750X                </t>
  </si>
  <si>
    <t xml:space="preserve">VINF RUCAMALEN RES MALBEC X750                    </t>
  </si>
  <si>
    <t xml:space="preserve">VINF RUTINI PINOT NOIR 750X                       </t>
  </si>
  <si>
    <t xml:space="preserve">VINF RUTINI RED BLEND CS-SY 750X                  </t>
  </si>
  <si>
    <t xml:space="preserve">VINF S.FELIPE BLANCO 750X                         </t>
  </si>
  <si>
    <t xml:space="preserve">VINF S.FELIPE C.SAUV. 750X                        </t>
  </si>
  <si>
    <t xml:space="preserve">VINF S.FELIPE CHARDONNAY 750X                     </t>
  </si>
  <si>
    <t xml:space="preserve">VINF SAPO DE OTRO POZO RED BLEND 750X             </t>
  </si>
  <si>
    <t xml:space="preserve">2510-22             </t>
  </si>
  <si>
    <t xml:space="preserve">VINF STFELICIEN BONARDA 750X                      </t>
  </si>
  <si>
    <t xml:space="preserve">245-22              </t>
  </si>
  <si>
    <t xml:space="preserve">VINF STFELICIEN CHARDONNAY 750X                   </t>
  </si>
  <si>
    <t xml:space="preserve">246-22              </t>
  </si>
  <si>
    <t xml:space="preserve">VINF STFELICIEN PINOT NOIR 750X                   </t>
  </si>
  <si>
    <t xml:space="preserve">1800-19             </t>
  </si>
  <si>
    <t xml:space="preserve">VINF STFELICIEN SEMILLON DOUX 500X                </t>
  </si>
  <si>
    <t xml:space="preserve">VINF SUTER C.SAUV. 750X                           </t>
  </si>
  <si>
    <t xml:space="preserve">VINF TRAPICHE IMPURO C.SAUV. 750X                 </t>
  </si>
  <si>
    <t xml:space="preserve">VINF TRAPICHE IMPURO MALBEC 750X                  </t>
  </si>
  <si>
    <t xml:space="preserve">VINF TRAPICHE PURO C.SAUV. 750X                   </t>
  </si>
  <si>
    <t xml:space="preserve">VINF TRAPICHE PURO MALBEC 750X                    </t>
  </si>
  <si>
    <t xml:space="preserve">VINF TRUMPETER RES. PINOT NOIR 750X               </t>
  </si>
  <si>
    <t xml:space="preserve">VINF TRUMPETER RES.ROSE 750X                      </t>
  </si>
  <si>
    <t xml:space="preserve">VINF UXMAL C.SAUV. 750X                           </t>
  </si>
  <si>
    <t xml:space="preserve">VINF UXMAL MOSCATEL  ALEJANDRIA 750X              </t>
  </si>
  <si>
    <t xml:space="preserve">VINF UXMAL ROSE 750X                              </t>
  </si>
  <si>
    <t xml:space="preserve">VINF VINALBA MALBEC 750X                          </t>
  </si>
  <si>
    <t xml:space="preserve">VINF ZUCCARDI Q C.FRANC 750X                      </t>
  </si>
  <si>
    <t xml:space="preserve">VINF ZUCCARDI Q C.SAUV. 750X                      </t>
  </si>
  <si>
    <t xml:space="preserve">VINF ZUCCARDI Q TEMPRANILLO 750X                  </t>
  </si>
  <si>
    <t xml:space="preserve">VINF ZUCCARDI SERIE A C.SAUV. 750X                </t>
  </si>
  <si>
    <t xml:space="preserve">VINF ZUCCARDI SERIE A CHARDONNAY 750X             </t>
  </si>
  <si>
    <t xml:space="preserve">VINF ZUCCARDI SERIE A SYRAH 750X                  </t>
  </si>
  <si>
    <t xml:space="preserve">CHAP  EMILIA E.BRUT. 750X                         </t>
  </si>
  <si>
    <t xml:space="preserve">CHAP ALAMBRADO BLANCS DE BLANCS BRUT. 750X        </t>
  </si>
  <si>
    <t xml:space="preserve">CHAP ALAMBRADO ROSE. 750X                         </t>
  </si>
  <si>
    <t xml:space="preserve">CHAP ALMA NEGRA B.NATURE. 750X                    </t>
  </si>
  <si>
    <t xml:space="preserve">CHAP ALMA NEGRA BLANC DE BLANCS E.BRUT. 750X      </t>
  </si>
  <si>
    <t xml:space="preserve">SABN1               </t>
  </si>
  <si>
    <t xml:space="preserve">CHAP ALYDA B.NATURE. 750X                         </t>
  </si>
  <si>
    <t xml:space="preserve">SAR1                </t>
  </si>
  <si>
    <t xml:space="preserve">CHAP ALYDA ROSE. 750X                             </t>
  </si>
  <si>
    <t xml:space="preserve">CHAP ANIMAL E.BRUT. 750X                          </t>
  </si>
  <si>
    <t xml:space="preserve">CHA050              </t>
  </si>
  <si>
    <t xml:space="preserve">CHAP CASA BOHER E.BRUT. BOT 750X                  </t>
  </si>
  <si>
    <t xml:space="preserve">CHAP DESEADO E.BRUT. 750X                         </t>
  </si>
  <si>
    <t xml:space="preserve">CHAP DILEMA R.DULCE. 750X                         </t>
  </si>
  <si>
    <t xml:space="preserve">CHAP DOMINIO RUTINI B.NATURE. 750X                </t>
  </si>
  <si>
    <t xml:space="preserve">CHAP EMILIA ROSE. 750X                            </t>
  </si>
  <si>
    <t xml:space="preserve">CHAP FRESITA SABOR FRESA 750X                     </t>
  </si>
  <si>
    <t xml:space="preserve">1381AP1054100       </t>
  </si>
  <si>
    <t xml:space="preserve">CHAP GAMBEI DULCE. 750X                           </t>
  </si>
  <si>
    <t xml:space="preserve">1381AP1154100       </t>
  </si>
  <si>
    <t xml:space="preserve">CHAP GAMBEI E.BRUT. 750X                          </t>
  </si>
  <si>
    <t xml:space="preserve">80043-51            </t>
  </si>
  <si>
    <t xml:space="preserve">CHAP HERMANDAD BRUT. 750X                         </t>
  </si>
  <si>
    <t xml:space="preserve">CHAP LA MANTIS PETILLANT 750X                     </t>
  </si>
  <si>
    <t xml:space="preserve">CHAP MARGARITA P/LOS CHANCHOS ROSE. 750X          </t>
  </si>
  <si>
    <t xml:space="preserve">F7301A1             </t>
  </si>
  <si>
    <t xml:space="preserve">CHAP MARIA METODO TRAD B.NATURE. 750X             </t>
  </si>
  <si>
    <t xml:space="preserve">CHAP MOSQUITA MUERTA E.BRUT. 750X                 </t>
  </si>
  <si>
    <t xml:space="preserve">CHAP MUMM CUVEE RES D.SEC. 750X                   </t>
  </si>
  <si>
    <t xml:space="preserve">CHAP MUMM CUVEE RES DULCE. 750X                   </t>
  </si>
  <si>
    <t xml:space="preserve">CHAP MUMM CUVEE RES E.BRUT. 750X                  </t>
  </si>
  <si>
    <t xml:space="preserve">CHAP MUMM CUVEE RES ROSE. 750X                    </t>
  </si>
  <si>
    <t xml:space="preserve">CHAP MUMM LEGER DULCE. 750X                       </t>
  </si>
  <si>
    <t xml:space="preserve">CHAP MUMM LEGER SPRITZ DULCE. 750X                </t>
  </si>
  <si>
    <t xml:space="preserve">CHAP N.SENETINER  B.NATURE. 750X                  </t>
  </si>
  <si>
    <t xml:space="preserve">CHAP N.SENETINER ROSE. 750X                       </t>
  </si>
  <si>
    <t xml:space="preserve">CHAP NAVE ROBINO E.BRUT. 750X                     </t>
  </si>
  <si>
    <t xml:space="preserve">1371AM1154100       </t>
  </si>
  <si>
    <t xml:space="preserve">CHAP NORTON COS ESP E.BRUT. 750X                  </t>
  </si>
  <si>
    <t xml:space="preserve">1381AR1154100       </t>
  </si>
  <si>
    <t xml:space="preserve">CHAP NORTON E.BRUT. 750X                          </t>
  </si>
  <si>
    <t xml:space="preserve">CHAP PERDICES E.BRUT. 750X                        </t>
  </si>
  <si>
    <t xml:space="preserve">CHA005              </t>
  </si>
  <si>
    <t xml:space="preserve">CHAP ROSELL BOHER BRUT. 750X                      </t>
  </si>
  <si>
    <t xml:space="preserve">CHA882              </t>
  </si>
  <si>
    <t xml:space="preserve">CHAP ROSELL BOHER ENCARNACION B.NATURE. 750X      </t>
  </si>
  <si>
    <t xml:space="preserve">CHA110              </t>
  </si>
  <si>
    <t xml:space="preserve">CHAP ROSELL BOHER ROSE. 750X                      </t>
  </si>
  <si>
    <t xml:space="preserve">SEBN1               </t>
  </si>
  <si>
    <t xml:space="preserve">CHAP SALENTEIN B.NATURE. 750X                     </t>
  </si>
  <si>
    <t xml:space="preserve">SER1                </t>
  </si>
  <si>
    <t xml:space="preserve">CHAP SALENTEIN ROSE. 750X                         </t>
  </si>
  <si>
    <t xml:space="preserve">CHAP SAN FELIPE E.BRUT. 750X                      </t>
  </si>
  <si>
    <t xml:space="preserve">CHAP SAPO DE OTRO POZO CHARMAT E.BRUT. 750X       </t>
  </si>
  <si>
    <t xml:space="preserve">CHAP SOMBRERO E.BRUT 750X                         </t>
  </si>
  <si>
    <t xml:space="preserve">CHAP SOTTANO E.BRUT. 750X                         </t>
  </si>
  <si>
    <t xml:space="preserve">CHAP STA JULIA CLASSIC CUVEE E.BRUT. 750X         </t>
  </si>
  <si>
    <t xml:space="preserve">267-NV              </t>
  </si>
  <si>
    <t xml:space="preserve">CHAP STFELICIEN NATURE. 750X                      </t>
  </si>
  <si>
    <t xml:space="preserve">CHAP TRUMPETER E.BRUT. 750X                       </t>
  </si>
  <si>
    <t xml:space="preserve">CHAP VINIA LAS PERDICES E.BRUT. 750X              </t>
  </si>
  <si>
    <t xml:space="preserve">CHAP VINIA LAS PERDICES ROSE. 750X                </t>
  </si>
  <si>
    <t xml:space="preserve">CHAP ZUCCARDI BLANC DE BLANCS NATURE. 750X        </t>
  </si>
  <si>
    <t xml:space="preserve">VINF ABEJA OBRERA B.BLANCS. 750X                  </t>
  </si>
  <si>
    <t xml:space="preserve">VINF ABEJA OBRERA C.SAUV. 750X                    </t>
  </si>
  <si>
    <t xml:space="preserve">VINF ABEJA OBRERA MALBEC 750X                     </t>
  </si>
  <si>
    <t xml:space="preserve">VINF ABEJA REINA B.BLANCS. 750X                   </t>
  </si>
  <si>
    <t xml:space="preserve">VINF ABEJA REINA MALBEC 750X                      </t>
  </si>
  <si>
    <t xml:space="preserve">VINF ALAMBRADO BONARDA 750X                       </t>
  </si>
  <si>
    <t xml:space="preserve">VINF ALAMBRADO C.FRANC 750X                       </t>
  </si>
  <si>
    <t xml:space="preserve">VINF ALAMBRADO C.SAUV. 750X                       </t>
  </si>
  <si>
    <t xml:space="preserve">VINF ALAMBRADO CHARDONNAY 750X                    </t>
  </si>
  <si>
    <t xml:space="preserve">VINF ALAMBRADO S.BLANC. 750X                      </t>
  </si>
  <si>
    <t xml:space="preserve">VINF FORASTERO C.FRANC 750X                       </t>
  </si>
  <si>
    <t xml:space="preserve">VINF FORASTERO COFERMENTADO RED BLEND 750X        </t>
  </si>
  <si>
    <t xml:space="preserve">VINF FORASTERO MALBEC 750X                        </t>
  </si>
  <si>
    <t xml:space="preserve">VINF FUZION ALT C.SAUV. 750X                      </t>
  </si>
  <si>
    <t xml:space="preserve">VINF FUZION ALT MALBEC 750X                       </t>
  </si>
  <si>
    <t xml:space="preserve">VINF FUZION DULCE BCO. X750                       </t>
  </si>
  <si>
    <t xml:space="preserve">VINF JOSE ZUCCARDI MALBEC 750X                    </t>
  </si>
  <si>
    <t xml:space="preserve">1211CJ1254100       </t>
  </si>
  <si>
    <t xml:space="preserve">VINF LOTE BLANCO. GRUNER VELTLINER 750X           </t>
  </si>
  <si>
    <t xml:space="preserve">1211BG0354100       </t>
  </si>
  <si>
    <t xml:space="preserve">VINF LOTE NEGRO RED BLEND MB-CF 750X              </t>
  </si>
  <si>
    <t xml:space="preserve">VINF MALAMADO MALBEC FORT 750X                    </t>
  </si>
  <si>
    <t xml:space="preserve">VINF MALAMADO VIOGNIER 500X                       </t>
  </si>
  <si>
    <t xml:space="preserve">VINF NAMPE CHARDONNAY 750X                        </t>
  </si>
  <si>
    <t xml:space="preserve">VINF NAMPE MERLOT 750X                            </t>
  </si>
  <si>
    <t xml:space="preserve">VINF NAMPE SYRAH 750X                             </t>
  </si>
  <si>
    <t xml:space="preserve">VINF NAMPE TEMPRANILLO 750X                       </t>
  </si>
  <si>
    <t xml:space="preserve">VINF SANTA JULIA TEMPRANILLO 750X                 </t>
  </si>
  <si>
    <t xml:space="preserve">VINF STA JULIA CHARDONNAY 750X                    </t>
  </si>
  <si>
    <t xml:space="preserve">VINF STA JULIA RED BLEND MB-CS 750X               </t>
  </si>
  <si>
    <t xml:space="preserve">VINF STA JULIA RES C.SAUV. 750X                   </t>
  </si>
  <si>
    <t xml:space="preserve">VINF STA JULIA TOMATES VDES TORRONTES 750X        </t>
  </si>
  <si>
    <t xml:space="preserve">VINF TITO ZUCCARDI PARAJE ALTAMIRA 2022           </t>
  </si>
  <si>
    <t xml:space="preserve">VINF TRIVENTO GOLDEN RES BLACK C.FRANC 750X       </t>
  </si>
  <si>
    <t xml:space="preserve">VINF TRIVENTO GOLDEN RES C.SAUV. 750X             </t>
  </si>
  <si>
    <t xml:space="preserve">VINF ZUCCARDI BRAZOS RED BLEND 750X               </t>
  </si>
  <si>
    <t xml:space="preserve">CED1                </t>
  </si>
  <si>
    <t xml:space="preserve">CHAP CALLIA DULCE. 750X                           </t>
  </si>
  <si>
    <t xml:space="preserve">CEEB1               </t>
  </si>
  <si>
    <t xml:space="preserve">CHAP CALLIA E.BRUT. 750X                          </t>
  </si>
  <si>
    <t xml:space="preserve">VINF ABRASADO HIST RED BLEND CS-MB-ML 750X        </t>
  </si>
  <si>
    <t xml:space="preserve">VINF ABRASADO HIST RED BLEND MB-BN 750X           </t>
  </si>
  <si>
    <t xml:space="preserve">VINF ABRASADO RED BLEND PARC MALBEC 750X          </t>
  </si>
  <si>
    <t xml:space="preserve">VINF ABRASADO TERR SELEC C.SAUV. 750X             </t>
  </si>
  <si>
    <t xml:space="preserve">VINF ABRASADO TERR SELEC MALBEC 750X              </t>
  </si>
  <si>
    <t xml:space="preserve">VINF ABRASADO UNIQUE PARCEL C.FRANC 750X          </t>
  </si>
  <si>
    <t xml:space="preserve">VINF ABRASADO UNIQUE PARCEL MALBEC 750X           </t>
  </si>
  <si>
    <t xml:space="preserve">1211AB0654100       </t>
  </si>
  <si>
    <t xml:space="preserve">VINF ALTURA C.FRANC. 750X                         </t>
  </si>
  <si>
    <t xml:space="preserve">1211AB1354100       </t>
  </si>
  <si>
    <t xml:space="preserve">VINF ALTURA MALBEC 750X                           </t>
  </si>
  <si>
    <t xml:space="preserve">1211AB2054100       </t>
  </si>
  <si>
    <t xml:space="preserve">VINF ALTURA SEMILLON 750X                         </t>
  </si>
  <si>
    <t xml:space="preserve">VINF ALUVIONAL GALTALLARY MALBEC 2020 750X        </t>
  </si>
  <si>
    <t xml:space="preserve">VINF ALUVIONAL LOS CHACAYES MALBEC 2019 750X      </t>
  </si>
  <si>
    <t xml:space="preserve">VINF ALUVIONAL PARAJE ALTAMIRA MALBEC 2019 750X   </t>
  </si>
  <si>
    <t xml:space="preserve">VINF ANIMAL ORG C.SAUV. 750X                      </t>
  </si>
  <si>
    <t xml:space="preserve">VINF ANIMAL ORG CHARDONNAY 750X                   </t>
  </si>
  <si>
    <t xml:space="preserve">VINF ANIMAL ORG CRIOLLA 750X                      </t>
  </si>
  <si>
    <t xml:space="preserve">VINF ANIMAL ORG MALBEC 750X                       </t>
  </si>
  <si>
    <t xml:space="preserve">VINF ANIMAL ORG ROSADO 750X                       </t>
  </si>
  <si>
    <t xml:space="preserve">VINF BESO DE DANTE RED BLEND 750X                 </t>
  </si>
  <si>
    <t xml:space="preserve">VINF CAFAYATE C.SAUV. 750X                        </t>
  </si>
  <si>
    <t xml:space="preserve">VINF CAFAYATE COS.TARDIA. BCO  750X               </t>
  </si>
  <si>
    <t xml:space="preserve">VINF CAFAYATE MALBEC 750X                         </t>
  </si>
  <si>
    <t xml:space="preserve">VINF CAFAYATE RES C.SAUV. 750X                    </t>
  </si>
  <si>
    <t xml:space="preserve">VINF CAFAYATE RES MALBEC 750X                     </t>
  </si>
  <si>
    <t xml:space="preserve">VINF CAFAYATE RES TORRONTES 750X                  </t>
  </si>
  <si>
    <t xml:space="preserve">VINF CAFAYATE ROSE 750X                           </t>
  </si>
  <si>
    <t xml:space="preserve">VINF CAFAYATE TORRONTES 750X                      </t>
  </si>
  <si>
    <t xml:space="preserve">CAC1                </t>
  </si>
  <si>
    <t xml:space="preserve">VINF CALLIA C.SAUV. 750X                          </t>
  </si>
  <si>
    <t xml:space="preserve">CACH1               </t>
  </si>
  <si>
    <t xml:space="preserve">VINF CALLIA CHARDONNAY 750X                       </t>
  </si>
  <si>
    <t xml:space="preserve">CACR1               </t>
  </si>
  <si>
    <t xml:space="preserve">VINF CALLIA CRIOLLA 750X                          </t>
  </si>
  <si>
    <t xml:space="preserve">VINF CHACABUCO CHENIN 500X                        </t>
  </si>
  <si>
    <t xml:space="preserve">VINF CHACABUCO S.BLANC. 750X                      </t>
  </si>
  <si>
    <t xml:space="preserve">VINF CHACABUCO TORRONTES 750X                     </t>
  </si>
  <si>
    <t xml:space="preserve">VINF CHACABUCO VIOGNIER 750X                      </t>
  </si>
  <si>
    <t xml:space="preserve">VINF CIRCUS ROBLE C.SAUV. 750X                    </t>
  </si>
  <si>
    <t xml:space="preserve">VINF CONCRETO MALBEC 2022 750X                    </t>
  </si>
  <si>
    <t xml:space="preserve">VINF CONEJO VERDE B.BLANCS 750X                   </t>
  </si>
  <si>
    <t xml:space="preserve">VINF CONEJO VERDE MALBEC BAJO ALCH 750X           </t>
  </si>
  <si>
    <t xml:space="preserve">VINF CONEJO VERDE ROSE 750X                       </t>
  </si>
  <si>
    <t xml:space="preserve">FCA01AR             </t>
  </si>
  <si>
    <t xml:space="preserve">VINF CONFIADO ALQUIMI MALBEC  750X                </t>
  </si>
  <si>
    <t xml:space="preserve">COCH1               </t>
  </si>
  <si>
    <t xml:space="preserve">VINF CONTRACARA  CHARDONNAY 750X                  </t>
  </si>
  <si>
    <t xml:space="preserve">COM1                </t>
  </si>
  <si>
    <t xml:space="preserve">VINF CONTRACARA MALBEC 750X                       </t>
  </si>
  <si>
    <t xml:space="preserve">COB1                </t>
  </si>
  <si>
    <t xml:space="preserve">VINF CONTRACARA RED BLEND 750X                    </t>
  </si>
  <si>
    <t xml:space="preserve">VINF D.ROBINO B.BLANCS 750X                       </t>
  </si>
  <si>
    <t xml:space="preserve">VINF D.ROBINO BONARDA 750X                        </t>
  </si>
  <si>
    <t xml:space="preserve">VINF D.ROBINO C.SAUV. 750X                        </t>
  </si>
  <si>
    <t xml:space="preserve">VINF D.ROBINO CHARDONNAY 750X                     </t>
  </si>
  <si>
    <t xml:space="preserve">VINF D.ROBINO LEG B.BLANCS 750X                   </t>
  </si>
  <si>
    <t xml:space="preserve">VINF D.ROBINO LEG C.SAUV.V 750X                   </t>
  </si>
  <si>
    <t xml:space="preserve">VINF D.ROBINO MALBEC 750X                         </t>
  </si>
  <si>
    <t xml:space="preserve">VINF D.ROBINO RES BONARDA 750X                    </t>
  </si>
  <si>
    <t xml:space="preserve">VINF E.GASCON C.SAUV. 750X                        </t>
  </si>
  <si>
    <t xml:space="preserve">VINF E.GASCON GRAN RES C.SAUV. 750X               </t>
  </si>
  <si>
    <t xml:space="preserve">VINF E.GASCON GRAN RES CHARDONNAY 750X            </t>
  </si>
  <si>
    <t xml:space="preserve">VINF E.GASCON GRAN RES MALBEC 750X                </t>
  </si>
  <si>
    <t xml:space="preserve">VINF E.GASCON GRAN RES ROSE 750X                  </t>
  </si>
  <si>
    <t xml:space="preserve">VINF E.GASCON S.BLANC. 750X                       </t>
  </si>
  <si>
    <t xml:space="preserve">VINF EMMA ZUCCARDI BONARDA 750X                   </t>
  </si>
  <si>
    <t xml:space="preserve">VINF ETCHART PRIV TORRONTES 750X                  </t>
  </si>
  <si>
    <t xml:space="preserve">VINF EXPLORACION ALTAMIRA MALBEC 750X             </t>
  </si>
  <si>
    <t xml:space="preserve">VINF EXPLORACION CASABLANCA S.BLANC. 750X         </t>
  </si>
  <si>
    <t xml:space="preserve">VINF EXPLORACION CHACAYES MALBEC 750X             </t>
  </si>
  <si>
    <t xml:space="preserve">VINF EXPLORACION GUALTALLARY MALBEC 750X          </t>
  </si>
  <si>
    <t xml:space="preserve">VINF EXPLORACION LA CONSULTA MALBEC 750X          </t>
  </si>
  <si>
    <t xml:space="preserve">VINF EXPLORACION RIESLING 750X                    </t>
  </si>
  <si>
    <t xml:space="preserve">VINF EXPLORACION ROSE CLASSIQUE 750X              </t>
  </si>
  <si>
    <t xml:space="preserve">VINF FINJAMOS DEMENCIA RED BLEND 750X             </t>
  </si>
  <si>
    <t xml:space="preserve">VINF FLIA.GASCON CHARDONNAY 750X                  </t>
  </si>
  <si>
    <t xml:space="preserve">VINF FLIA.GASCON ROSE 750X                        </t>
  </si>
  <si>
    <t xml:space="preserve">VINF HERMANO TORMENTA CO-FER. SB-MB 750X          </t>
  </si>
  <si>
    <t xml:space="preserve">VINF HERMANO TORMENTA CO-FER. TT-MB 750X          </t>
  </si>
  <si>
    <t xml:space="preserve">VINF HERMANO TORMENTA CO-FER. VG-MB 750X          </t>
  </si>
  <si>
    <t xml:space="preserve">SKC1                </t>
  </si>
  <si>
    <t xml:space="preserve">VINF KILLKA C.SAUV. 750X                          </t>
  </si>
  <si>
    <t xml:space="preserve">SKB1                </t>
  </si>
  <si>
    <t xml:space="preserve">VINF KILLKA RED BLEND 750X                        </t>
  </si>
  <si>
    <t xml:space="preserve">VINF LOGIA NOIR DE MALBEC 750X                    </t>
  </si>
  <si>
    <t xml:space="preserve">VINF LOLA MONTES C.SAUV. 750X                     </t>
  </si>
  <si>
    <t xml:space="preserve">VINF LOLA MONTES DULCE BCO. 750X                  </t>
  </si>
  <si>
    <t xml:space="preserve">VINF LOLA MONTES MALBEC 750X                      </t>
  </si>
  <si>
    <t xml:space="preserve">VINF LOLA MONTES ROSE 750X                        </t>
  </si>
  <si>
    <t xml:space="preserve">VINF LOPEZ JEREZ 750X                             </t>
  </si>
  <si>
    <t xml:space="preserve">FP202AR             </t>
  </si>
  <si>
    <t xml:space="preserve">VINF LOS PASOS CHARDONNAY 750X                    </t>
  </si>
  <si>
    <t xml:space="preserve">VINF MEG MALBEC 750X                              </t>
  </si>
  <si>
    <t xml:space="preserve">VINF NAVE ROBINO B.BLANCS 750X                    </t>
  </si>
  <si>
    <t xml:space="preserve">VINF NAVE ROBINO C.SAUV. 750X                     </t>
  </si>
  <si>
    <t xml:space="preserve">VINF NAVE ROBINO MALBEC 750X                      </t>
  </si>
  <si>
    <t xml:space="preserve">1251AA0854100       </t>
  </si>
  <si>
    <t xml:space="preserve">VINF NORTON 1895 CHARDONNAY 750X                  </t>
  </si>
  <si>
    <t xml:space="preserve">1221AJ1354100       </t>
  </si>
  <si>
    <t xml:space="preserve">VINF NORTON DOC MALBEC 750X                       </t>
  </si>
  <si>
    <t xml:space="preserve">1221BA1254100       </t>
  </si>
  <si>
    <t xml:space="preserve">VINF NORTON GRUNER VELTLINER 750X                 </t>
  </si>
  <si>
    <t xml:space="preserve">1221BY1754100       </t>
  </si>
  <si>
    <t xml:space="preserve">VINF NORTON MALBEC ROSE 750X                      </t>
  </si>
  <si>
    <t xml:space="preserve">1221BV0754100       </t>
  </si>
  <si>
    <t xml:space="preserve">VINF NORTON RES C.SAUV. 750X                      </t>
  </si>
  <si>
    <t xml:space="preserve">1221BV0854100       </t>
  </si>
  <si>
    <t xml:space="preserve">VINF NORTON RES CHARDONNAY 750X                   </t>
  </si>
  <si>
    <t xml:space="preserve">1221BV1354100       </t>
  </si>
  <si>
    <t xml:space="preserve">VINF NORTON RES MALBEC 750X                       </t>
  </si>
  <si>
    <t xml:space="preserve">1221BV1454100       </t>
  </si>
  <si>
    <t xml:space="preserve">VINF NORTON RES MERLOT 750X                       </t>
  </si>
  <si>
    <t xml:space="preserve">VINF NOVECENTO B.BLANCS 750X                      </t>
  </si>
  <si>
    <t xml:space="preserve">VINF NOVECENTO MALBEC 750X                        </t>
  </si>
  <si>
    <t xml:space="preserve">VINF NOVECENTO RAICES C.SAUV. 750X                </t>
  </si>
  <si>
    <t xml:space="preserve">VINF NOVECENTO RAICES MALBEC 750                  </t>
  </si>
  <si>
    <t xml:space="preserve">VINF P.PRODUCCIONES C.SAUV. 750X                  </t>
  </si>
  <si>
    <t xml:space="preserve">VINF P.PRODUCCIONES MALBEC 750X                   </t>
  </si>
  <si>
    <t xml:space="preserve">VINF PARTRIDGE B.BLANCS CH-VG 750X                </t>
  </si>
  <si>
    <t xml:space="preserve">VINF PARTRIDGE CHARDONNAY 750X                    </t>
  </si>
  <si>
    <t xml:space="preserve">VINF PERDICES C.SAUV. 750X                        </t>
  </si>
  <si>
    <t xml:space="preserve">VINF PERDICES RES C.SAUV. 750X                    </t>
  </si>
  <si>
    <t xml:space="preserve">VINF PERDICES RES CHARDONNAY 750X                 </t>
  </si>
  <si>
    <t xml:space="preserve">VINF PERDICES RES MAGNUM MALBEC 1500X             </t>
  </si>
  <si>
    <t xml:space="preserve">VINF PERDICES RES MALBEC 750X                     </t>
  </si>
  <si>
    <t xml:space="preserve">VINF PERDICES RES PINOT NOIR 750X                 </t>
  </si>
  <si>
    <t xml:space="preserve">POME1               </t>
  </si>
  <si>
    <t xml:space="preserve">VINF PORTILLO MERLOT 750X                         </t>
  </si>
  <si>
    <t xml:space="preserve">POR1                </t>
  </si>
  <si>
    <t xml:space="preserve">VINF PORTILLO ROSE 750X                           </t>
  </si>
  <si>
    <t xml:space="preserve">POM4                </t>
  </si>
  <si>
    <t xml:space="preserve">VINF PORTILLO SERIGRAFIA MALBEC 1.5X              </t>
  </si>
  <si>
    <t xml:space="preserve">POS1                </t>
  </si>
  <si>
    <t xml:space="preserve">VINF PORTILLO SYRAH 750X                          </t>
  </si>
  <si>
    <t xml:space="preserve">POTE1               </t>
  </si>
  <si>
    <t xml:space="preserve">VINF PORTILLO TEMPRANILLO 750X                    </t>
  </si>
  <si>
    <t xml:space="preserve">VINF PRISIONERO C.SAUV. 750X                      </t>
  </si>
  <si>
    <t xml:space="preserve">PUCH1               </t>
  </si>
  <si>
    <t xml:space="preserve">VINF PURAMUN CHARDONNAY 750X                      </t>
  </si>
  <si>
    <t xml:space="preserve">PUM1                </t>
  </si>
  <si>
    <t xml:space="preserve">VINF PURAMUN MALBEC 750X                          </t>
  </si>
  <si>
    <t xml:space="preserve">PYAM1               </t>
  </si>
  <si>
    <t xml:space="preserve">VINF PYROS APPELLATION MALBEC 750X                </t>
  </si>
  <si>
    <t xml:space="preserve">PYAS1               </t>
  </si>
  <si>
    <t xml:space="preserve">VINF PYROS APPELLATION SYRAH 750X                 </t>
  </si>
  <si>
    <t xml:space="preserve">VINF ROCKY C.SAUV. 750X                           </t>
  </si>
  <si>
    <t xml:space="preserve">VINF ROCKY RED BLEND 750X                         </t>
  </si>
  <si>
    <t xml:space="preserve">SRCF1               </t>
  </si>
  <si>
    <t xml:space="preserve">VINF SALENTEIN RES C.FRANC 750X                   </t>
  </si>
  <si>
    <t xml:space="preserve">SRC1                </t>
  </si>
  <si>
    <t xml:space="preserve">VINF SALENTEIN RES C.SAUV. 750X                   </t>
  </si>
  <si>
    <t xml:space="preserve">SRCH1               </t>
  </si>
  <si>
    <t xml:space="preserve">VINF SALENTEIN RES CHARDONNAY 750X                </t>
  </si>
  <si>
    <t xml:space="preserve">VINF SANTA JULIA EL BURRO MALBEC 750X             </t>
  </si>
  <si>
    <t>VINF SANTA JULIA EL ZORRITO NARANJO CHARDONNAY750X</t>
  </si>
  <si>
    <t xml:space="preserve">VINF SANTA JULIA OVEJA TORRONTES ORG 750X         </t>
  </si>
  <si>
    <t xml:space="preserve">F1301AR             </t>
  </si>
  <si>
    <t xml:space="preserve">VINF SEPTIMA EMB ROSE 750X                        </t>
  </si>
  <si>
    <t xml:space="preserve">F8201AR             </t>
  </si>
  <si>
    <t xml:space="preserve">VINF SEPTIMA G.RESERV RED BLEND 750X              </t>
  </si>
  <si>
    <t xml:space="preserve">F8401AR             </t>
  </si>
  <si>
    <t xml:space="preserve">VINF SEPTIMA GRAN RES 10 BARR MALBEC 750X         </t>
  </si>
  <si>
    <t xml:space="preserve">F1401AR             </t>
  </si>
  <si>
    <t xml:space="preserve">VINF SEPTIMA OBR C.FRANC 2016 750X                </t>
  </si>
  <si>
    <t xml:space="preserve">F3101AO             </t>
  </si>
  <si>
    <t xml:space="preserve">VINF SEPTIMA ORGANIC MALBEC 750X                  </t>
  </si>
  <si>
    <t xml:space="preserve">FT101AR             </t>
  </si>
  <si>
    <t xml:space="preserve">VINF SEPTIMA TIERRA AGRELO MALBEC 750X            </t>
  </si>
  <si>
    <t xml:space="preserve">FT401AR             </t>
  </si>
  <si>
    <t xml:space="preserve">VINF SEPTIMA TIERRA GUALT OAK MALBEC 750X         </t>
  </si>
  <si>
    <t xml:space="preserve">FT301AR             </t>
  </si>
  <si>
    <t xml:space="preserve">VINF SEPTIMA TIERRA GUALTALLARY MALBEC 750X       </t>
  </si>
  <si>
    <t xml:space="preserve">FT501AR             </t>
  </si>
  <si>
    <t xml:space="preserve">VINF SEPTIMA TIERRA LAS COMP MALBEC 750X          </t>
  </si>
  <si>
    <t xml:space="preserve">FT201AR             </t>
  </si>
  <si>
    <t xml:space="preserve">VINF SEPTIMA TIERRA LOS CHACAYES MALBEC 750X      </t>
  </si>
  <si>
    <t xml:space="preserve">VINF SIN PALABRAS CHENIN 750X                     </t>
  </si>
  <si>
    <t xml:space="preserve">VINF SIN REGLAS C.SAUV. 750X                      </t>
  </si>
  <si>
    <t xml:space="preserve">VINF SOTTANO C.SAUV. 750X                         </t>
  </si>
  <si>
    <t xml:space="preserve">VINF SOTTANO RES C.SAUV. 750X                     </t>
  </si>
  <si>
    <t xml:space="preserve">VINF SOTTANO RES FAMILIA MALBEC 750X              </t>
  </si>
  <si>
    <t xml:space="preserve">VINF SOTTANO RES MALBEC 750X                      </t>
  </si>
  <si>
    <t xml:space="preserve">VINF TERROIR C.ALT C.SAUV. 750X                   </t>
  </si>
  <si>
    <t xml:space="preserve">VINF VICTIMAS DEL CIELO CC.FRANC 750X             </t>
  </si>
  <si>
    <t xml:space="preserve">VINL MOSQUITA MUERTA TANQUE MALBEC LATA 310X      </t>
  </si>
  <si>
    <t xml:space="preserve">VINL STA JULIA DULCE TTO LATA 269X                </t>
  </si>
  <si>
    <t xml:space="preserve">VINL STA JULIA ROSE LATA 269X                     </t>
  </si>
  <si>
    <t xml:space="preserve">VINL STA JULIA TINTILLO TINTO LATA 269X           </t>
  </si>
  <si>
    <t xml:space="preserve">CHAP BIANCHI E BRUT. 750X                         </t>
  </si>
  <si>
    <t xml:space="preserve">CHAP BIANCHI PREMIUM E.BRUT. 750X                 </t>
  </si>
  <si>
    <t xml:space="preserve">CHAP CAPRICCIO FIORE DULCE. 750X                  </t>
  </si>
  <si>
    <t xml:space="preserve">VINF ALA COLORADA ANCELLOTA 750X                  </t>
  </si>
  <si>
    <t xml:space="preserve">VINF ALA COLORADA TANNAT 750X                     </t>
  </si>
  <si>
    <t xml:space="preserve">VINF ALAE MALBEC 750X                             </t>
  </si>
  <si>
    <t xml:space="preserve">VINF ARROGANTE MALBEC 750X                        </t>
  </si>
  <si>
    <t xml:space="preserve">C0301220502         </t>
  </si>
  <si>
    <t xml:space="preserve">VINF ARUMA MALBEC 750X                            </t>
  </si>
  <si>
    <t xml:space="preserve">VINF BIANCHI BOCA JRS 1905 MALBEC 750X            </t>
  </si>
  <si>
    <t xml:space="preserve">VINF BIANCHI C.SAUV. 750X                         </t>
  </si>
  <si>
    <t xml:space="preserve">VINF BIANCHI GRATO NOMBRE MALBEC 750X             </t>
  </si>
  <si>
    <t xml:space="preserve">VINF CADUS APPELLATION C.SAUV. 750X               </t>
  </si>
  <si>
    <t xml:space="preserve">VINF CADUS APPELLATION MALBEC 750X                </t>
  </si>
  <si>
    <t xml:space="preserve">VINF CADUS APPELLATION TUPUNGATO C.SAUV. 750X     </t>
  </si>
  <si>
    <t xml:space="preserve">VINF COCOLICHE MALBEC 750X                        </t>
  </si>
  <si>
    <t xml:space="preserve">VINF COQUENA C.SAUV. 750X                         </t>
  </si>
  <si>
    <t xml:space="preserve">VINF D.MOLINA RUPESTRE RED BLEND 750X             </t>
  </si>
  <si>
    <t xml:space="preserve">VINF DILEMA DAY C.SAUV. BIB 3X                    </t>
  </si>
  <si>
    <t xml:space="preserve">VINF DILEMA DAY MALBEC BIB 3X                     </t>
  </si>
  <si>
    <t xml:space="preserve">VINF EST.MENDOZA ROB C.SAUV. 750X                 </t>
  </si>
  <si>
    <t xml:space="preserve">VINF FAMIGLIA CHARDONNAY 750                      </t>
  </si>
  <si>
    <t xml:space="preserve">VINF FAMIGLIA ORG MALBEC 750X                     </t>
  </si>
  <si>
    <t xml:space="preserve">VINF FAMIGLIA RED BLEND 750X                      </t>
  </si>
  <si>
    <t xml:space="preserve">VINF FCA MAGNOLIA C.SAUV. 750X                    </t>
  </si>
  <si>
    <t xml:space="preserve">VINF GRAZIE MILLE LIBERT C.FRANC 750X             </t>
  </si>
  <si>
    <t xml:space="preserve">VINF GRAZIE MILLE LIBERT MALBEC 750X              </t>
  </si>
  <si>
    <t xml:space="preserve">VINF HAROLDOS ESTATE S.BLANC. 750X                </t>
  </si>
  <si>
    <t xml:space="preserve">VINF HAROLDOS RES C.FRANC 750X                    </t>
  </si>
  <si>
    <t xml:space="preserve">VINF HAROLDOS RES CHARDONNAY 750X                 </t>
  </si>
  <si>
    <t xml:space="preserve">VINF HELECHOS MALBEC MALBEC 750X                  </t>
  </si>
  <si>
    <t xml:space="preserve">VINF LOS CARDOS C.SAUV. 750X                      </t>
  </si>
  <si>
    <t xml:space="preserve">VINF LOS HELECHOS RES C.SAUV. 750X                </t>
  </si>
  <si>
    <t xml:space="preserve">VINF MALABARISTA C.FRANC 750X                     </t>
  </si>
  <si>
    <t xml:space="preserve">VINF MALABARISTA MALBEC 750X                      </t>
  </si>
  <si>
    <t xml:space="preserve">VINF MALABARISTA WM C.FRANC 750X                  </t>
  </si>
  <si>
    <t xml:space="preserve">VINF MALABARISTA WM MALBEC 750X                   </t>
  </si>
  <si>
    <t xml:space="preserve">VINF MALABARISTA WM RED BLEND 750X                </t>
  </si>
  <si>
    <t xml:space="preserve">VINF MALMA RES C.SAUV. 750X                       </t>
  </si>
  <si>
    <t xml:space="preserve">VINF MALMA RES CHARDONNAY 750X                    </t>
  </si>
  <si>
    <t xml:space="preserve">VINF MESA DE GALANES MALBEC 750X                  </t>
  </si>
  <si>
    <t xml:space="preserve">VINF MESA DE GALANES RED BLEND 750X               </t>
  </si>
  <si>
    <t xml:space="preserve">VINF SAURUS C.SAUV. 750X                          </t>
  </si>
  <si>
    <t xml:space="preserve">VINF SAURUS CHARDONNAY 750X                       </t>
  </si>
  <si>
    <t xml:space="preserve">VINF SAURUS MERLOT 750X                           </t>
  </si>
  <si>
    <t xml:space="preserve">VINF SAURUS PINOT NOIR ROSE 750X                  </t>
  </si>
  <si>
    <t xml:space="preserve">VINF SAURUS SEL. C.SAUV. 750X                     </t>
  </si>
  <si>
    <t xml:space="preserve">VINF SAURUS SEL. CHARDONNAY 750X                  </t>
  </si>
  <si>
    <t xml:space="preserve">VINF SAURUS SEL. MALBEC 750X                      </t>
  </si>
  <si>
    <t xml:space="preserve">VINF SAURUS SEL. MERLOT 750X                      </t>
  </si>
  <si>
    <t xml:space="preserve">VINF SAURUS SEL. PINOT NOIR 750X                  </t>
  </si>
  <si>
    <t xml:space="preserve">VINF SIMONA DULCE RDO  750X                       </t>
  </si>
  <si>
    <t xml:space="preserve">VINF SOLANDES RES MALBEC 750X                     </t>
  </si>
  <si>
    <t xml:space="preserve">VINF SOMBRERO C.FRANC 750X                        </t>
  </si>
  <si>
    <t xml:space="preserve">VINF SOMBRERO C.SAUV. 750X                        </t>
  </si>
  <si>
    <t xml:space="preserve">VINF SOMBRERO S.BLANC. 750X                       </t>
  </si>
  <si>
    <t xml:space="preserve">VINF TORO VIEJO TINTO 750X                        </t>
  </si>
  <si>
    <t xml:space="preserve">VINF UNO P.EDITION C.FRANC 750X                   </t>
  </si>
  <si>
    <t xml:space="preserve">VINF UNO P.EDITION MALBEC 750X                    </t>
  </si>
  <si>
    <t xml:space="preserve">VINF UNO RED BLEND 750X                           </t>
  </si>
  <si>
    <t xml:space="preserve">VINF UNO ROSE 750X                                </t>
  </si>
  <si>
    <t xml:space="preserve">VINF UNO S.BLANC. 750X                            </t>
  </si>
  <si>
    <t xml:space="preserve">VINF YACOCHUYA RED BLEND 750X                     </t>
  </si>
  <si>
    <t xml:space="preserve">VINF SEXY FISH B.BLANCS. 750X                     </t>
  </si>
  <si>
    <t xml:space="preserve">1231CC0654100       </t>
  </si>
  <si>
    <t xml:space="preserve">VINF SEXY FISH C.FRANC 750X                       </t>
  </si>
  <si>
    <t xml:space="preserve">VINF CHANCES BLEND CH-MB 750X                     </t>
  </si>
  <si>
    <t xml:space="preserve">VINF CHANCES BLEND CH-TT 750X                     </t>
  </si>
  <si>
    <t xml:space="preserve">VINF CHANCES BLEND MB-BN 750X                     </t>
  </si>
  <si>
    <t xml:space="preserve">VINF CHANCES BLEND MB-CS 750X                     </t>
  </si>
  <si>
    <t xml:space="preserve">VINF DEDICADO MICROTERROIR MALBEC  750X           </t>
  </si>
  <si>
    <t xml:space="preserve">MD001AR             </t>
  </si>
  <si>
    <t xml:space="preserve">VINF MARRASO C.SAUV. 750X                         </t>
  </si>
  <si>
    <t xml:space="preserve">VINF MARRASO CHARDONNAY 750X                      </t>
  </si>
  <si>
    <t xml:space="preserve">MD301AR             </t>
  </si>
  <si>
    <t xml:space="preserve">VINF MARRASO MALBEC 750X                          </t>
  </si>
  <si>
    <t xml:space="preserve">VINF MI TERRA C.SAUV. 750X                        </t>
  </si>
  <si>
    <t xml:space="preserve">VINF MI TERRA CHARDONNAY 750X                     </t>
  </si>
  <si>
    <t xml:space="preserve">VINF MISTERIO C.SAUV. 750X                        </t>
  </si>
  <si>
    <t xml:space="preserve">VINF MISTERIO MALBEC 750X                         </t>
  </si>
  <si>
    <t xml:space="preserve">VINF MISTERIO RED BLEND 750X                      </t>
  </si>
  <si>
    <t xml:space="preserve">VINF OMNIUM C.SAUV. 750X                          </t>
  </si>
  <si>
    <t xml:space="preserve">VINF OMNIUM CRIOLLA 750X                          </t>
  </si>
  <si>
    <t xml:space="preserve">VINF OMNIUM MALBEC 750X                           </t>
  </si>
  <si>
    <t xml:space="preserve">VINF PIRUETA B.BLANCS 330X                        </t>
  </si>
  <si>
    <t xml:space="preserve">VINF PIRUETA ORANGE ACROBAT SABOR 330X            </t>
  </si>
  <si>
    <t xml:space="preserve">VINF PIRUETA ORANGE TEXTO SABOR 330X              </t>
  </si>
  <si>
    <t xml:space="preserve">VINF L.BOSCA NOBLES MALBEC DOC 750X               </t>
  </si>
  <si>
    <t xml:space="preserve">VINF L.BOSCA PARAISO RED BLEND 750X               </t>
  </si>
  <si>
    <t xml:space="preserve">VINF L.BOSCA RIESLING COMPUERTAS 750X             </t>
  </si>
  <si>
    <t xml:space="preserve">VINF L.BOSCA S.BLANC. 750X                        </t>
  </si>
  <si>
    <t xml:space="preserve">VINF L.BOSCA SANGRE ALTAMIRA MALBEC 750X          </t>
  </si>
  <si>
    <t xml:space="preserve">VINF LINDA C.SAUV. 750X                           </t>
  </si>
  <si>
    <t xml:space="preserve">VINF LINDA CHARDONNAY 750X                        </t>
  </si>
  <si>
    <t xml:space="preserve">VINF LINDA RED BLEND 750X                         </t>
  </si>
  <si>
    <t xml:space="preserve">CHAP L.BOSCA B.NATURE. 750X                       </t>
  </si>
  <si>
    <t xml:space="preserve">CHAP L.BOSCA BOHEME B.NATURE. 750X                </t>
  </si>
  <si>
    <t xml:space="preserve">1322330154ES        </t>
  </si>
  <si>
    <t xml:space="preserve">VINF ELEGIDO C.SAUV. 750X                         </t>
  </si>
  <si>
    <t xml:space="preserve">1322310154ES        </t>
  </si>
  <si>
    <t xml:space="preserve">VINF ELEGIDO CHARDONNAY 750X                      </t>
  </si>
  <si>
    <t xml:space="preserve">1251AK1354100       </t>
  </si>
  <si>
    <t xml:space="preserve">VINF ELEGIDO MALBEC 750X                          </t>
  </si>
  <si>
    <t xml:space="preserve">1251CE0754100       </t>
  </si>
  <si>
    <t xml:space="preserve">VINF TALISMAN C.SAUV. 750X                        </t>
  </si>
  <si>
    <t xml:space="preserve">1251CE0854100       </t>
  </si>
  <si>
    <t xml:space="preserve">VINF TALISMAN CHARDONNAY 750X                     </t>
  </si>
  <si>
    <t xml:space="preserve">1251CE1354100       </t>
  </si>
  <si>
    <t xml:space="preserve">VINF TALISMAN MALBEC 750X                         </t>
  </si>
  <si>
    <t xml:space="preserve">VINF CELIA ELITE C.FRANC. 750X                    </t>
  </si>
  <si>
    <t xml:space="preserve">VINF CELIA ELITE MALBEC 750X                      </t>
  </si>
  <si>
    <t xml:space="preserve">VINF CELIA HERITAGE MALBEC 750X                   </t>
  </si>
  <si>
    <t xml:space="preserve">VINF CELIA PIONER C.FRANC 750X                    </t>
  </si>
  <si>
    <t>33,33% OFF</t>
  </si>
  <si>
    <t xml:space="preserve">VINF CELIA PIONER CHARDONNAY 750X                 </t>
  </si>
  <si>
    <t xml:space="preserve">VINF CELIA RES P.GRIGIO 750X                      </t>
  </si>
  <si>
    <t xml:space="preserve">VINF CELIA RES RED BLEND 750X                     </t>
  </si>
  <si>
    <t xml:space="preserve">VINF COLON B.BLANCS TRR - VG 750X                 </t>
  </si>
  <si>
    <t xml:space="preserve">VINF COLON RED BLEND CS - SY 750X                 </t>
  </si>
  <si>
    <t xml:space="preserve">VINF COLON RED BLEND MB - BN 750X                 </t>
  </si>
  <si>
    <t xml:space="preserve">VINF COLON SELEC. CHARDONNAY 750X                 </t>
  </si>
  <si>
    <t xml:space="preserve">VINF COLON SELEC. DULCE FRESCO 750X               </t>
  </si>
  <si>
    <t xml:space="preserve">VINF E.BUSTOS C.SAUV. 750X                        </t>
  </si>
  <si>
    <t xml:space="preserve">VINF E.BUSTOS DULCE BCO. 750X                     </t>
  </si>
  <si>
    <t xml:space="preserve">VINF E.BUSTOS LEY C.SAUV. 750X                    </t>
  </si>
  <si>
    <t xml:space="preserve">VINF E.BUSTOS LEY CHARDONNAY 750X                 </t>
  </si>
  <si>
    <t xml:space="preserve">VINF E.BUSTOS LEY MALBEC 750X                     </t>
  </si>
  <si>
    <t xml:space="preserve">VINF E.BUSTOS MALBEC 750X                         </t>
  </si>
  <si>
    <t xml:space="preserve">VINF O-61 RED BLEND 750X                          </t>
  </si>
  <si>
    <t>solo indep/armeni/caz/pays/urug/tte ib</t>
  </si>
  <si>
    <t xml:space="preserve">JUGN CEPITA MZNA 1X                               </t>
  </si>
  <si>
    <t xml:space="preserve">JUGN CEPITA MULT 1X                               </t>
  </si>
  <si>
    <t xml:space="preserve">JUGN CEPITA NAR 1X                                </t>
  </si>
  <si>
    <t xml:space="preserve">AGUS AQUARIUS NJA 1.5X                            </t>
  </si>
  <si>
    <t xml:space="preserve">AGUS AQUARIUS POM RDO 1.5X                        </t>
  </si>
  <si>
    <t xml:space="preserve">AGUS AQUARIUS LIMONADA 1.5X                       </t>
  </si>
  <si>
    <t xml:space="preserve">AGUS AQUARIUS PERA 1.5X                           </t>
  </si>
  <si>
    <t xml:space="preserve">AGUS AQUARIUS MZNA 1.5X                           </t>
  </si>
  <si>
    <t xml:space="preserve">AGUS AQUARIUS POMELO 1.5X                         </t>
  </si>
  <si>
    <t xml:space="preserve">AGUS AQUARIUS UVA 1.5X                            </t>
  </si>
  <si>
    <t xml:space="preserve">AGUS AQUARIUS ANANA-JENG 1.5X                     </t>
  </si>
  <si>
    <t xml:space="preserve">ENER MONSTER GREEN LAT 473X                       </t>
  </si>
  <si>
    <t xml:space="preserve">ENER MONSTER MANGO LOCO LAT 473X                  </t>
  </si>
  <si>
    <t xml:space="preserve">ENER MONSTER SUNRISE LAT 473X                     </t>
  </si>
  <si>
    <t xml:space="preserve">ENER MONSTER ULTRA LAT 473X                       </t>
  </si>
  <si>
    <t xml:space="preserve">ENER MONSTER THE DOCTOR LAT 473X                  </t>
  </si>
  <si>
    <t xml:space="preserve">ENER MONSTER WATERMELON LAT 473X                  </t>
  </si>
  <si>
    <t xml:space="preserve">ENER MONSTER PINEAPPLE LAT 473X                   </t>
  </si>
  <si>
    <t xml:space="preserve">ENER MONSTER ZERO GREEN LAT 473X                  </t>
  </si>
  <si>
    <t xml:space="preserve">ENER MONSTER PIPELINE PUNCH LAT 473X              </t>
  </si>
  <si>
    <t xml:space="preserve">77944276     </t>
  </si>
  <si>
    <t xml:space="preserve">CHIC BELDENT CHICLE GLOBO 1X                      </t>
  </si>
  <si>
    <t xml:space="preserve">77901651     </t>
  </si>
  <si>
    <t xml:space="preserve">CHIC BELDENT FRUT POP 1X                          </t>
  </si>
  <si>
    <t xml:space="preserve">77942371     </t>
  </si>
  <si>
    <t xml:space="preserve">CHIC BELDENT MENTA REFRES 1X                      </t>
  </si>
  <si>
    <t xml:space="preserve">77942388     </t>
  </si>
  <si>
    <t xml:space="preserve">CHIC BELDENT MENTA FUERTE 1X                      </t>
  </si>
  <si>
    <t xml:space="preserve">77942395     </t>
  </si>
  <si>
    <t xml:space="preserve">CHIC BELDENT MENTOL FROZEN 1X                     </t>
  </si>
  <si>
    <t xml:space="preserve">77987686     </t>
  </si>
  <si>
    <t xml:space="preserve">CHIC BELDENT SANDIA 1X                            </t>
  </si>
  <si>
    <t>7622202273131</t>
  </si>
  <si>
    <t xml:space="preserve">CHIC BELDENT TROPICAL MIX 20X                     </t>
  </si>
  <si>
    <t xml:space="preserve">77912732     </t>
  </si>
  <si>
    <t xml:space="preserve">CARA HALLS CHERRY LYPTUS 1X                       </t>
  </si>
  <si>
    <t xml:space="preserve">77933928     </t>
  </si>
  <si>
    <t xml:space="preserve">CARA HALLS MENTA 1X                               </t>
  </si>
  <si>
    <t>7622210658982</t>
  </si>
  <si>
    <t xml:space="preserve">CARA HALLS MENTHO LIPTUS 1X                       </t>
  </si>
  <si>
    <t xml:space="preserve">77921420     </t>
  </si>
  <si>
    <t xml:space="preserve">CARA HALLS HONEY LEMON 1X                         </t>
  </si>
  <si>
    <t>7791249003725</t>
  </si>
  <si>
    <t xml:space="preserve">CARA HALLS MIEL C/MENTA 1X                        </t>
  </si>
  <si>
    <t xml:space="preserve">77939234     </t>
  </si>
  <si>
    <t xml:space="preserve">ALFA TERRAB.CHOC CLASIC 1X                        </t>
  </si>
  <si>
    <t xml:space="preserve">77903860     </t>
  </si>
  <si>
    <t xml:space="preserve">ALFA TERRAB.TRIP TORTA 1X                         </t>
  </si>
  <si>
    <t>7622201807405</t>
  </si>
  <si>
    <t xml:space="preserve">CHOC CADBURY ALMENDRAS 82X                        </t>
  </si>
  <si>
    <t>7622300800277</t>
  </si>
  <si>
    <t xml:space="preserve">CHOC MILKA LEGER ALM 50X                          </t>
  </si>
  <si>
    <t>7622300800239</t>
  </si>
  <si>
    <t xml:space="preserve">CHOC MILKA LEGER LECH 25X                         </t>
  </si>
  <si>
    <t>7622300990152</t>
  </si>
  <si>
    <t xml:space="preserve">CHOC MILKA ALMENDRAS 155X                         </t>
  </si>
  <si>
    <t>7622210745620</t>
  </si>
  <si>
    <t xml:space="preserve">CHOC MILKA ALM 55X                                </t>
  </si>
  <si>
    <t>7622210788207</t>
  </si>
  <si>
    <t xml:space="preserve">CHOC MILKA BIS 105.6X                             </t>
  </si>
  <si>
    <t>7622210745583</t>
  </si>
  <si>
    <t xml:space="preserve">CHOC MILKA BCO 55X                                </t>
  </si>
  <si>
    <t>7622202306808</t>
  </si>
  <si>
    <t xml:space="preserve">CHOC MILK BOMB CREM AVELL 110X                    </t>
  </si>
  <si>
    <t>7622202306839</t>
  </si>
  <si>
    <t xml:space="preserve">CHOC MILK BOMB CREM VAIN 110X                     </t>
  </si>
  <si>
    <t>7622300134532</t>
  </si>
  <si>
    <t xml:space="preserve">CHOC MILKA CAR + AVELL ENT 300X                   </t>
  </si>
  <si>
    <t>7622300875633</t>
  </si>
  <si>
    <t xml:space="preserve">CHOC MILKA CASTANIAS CAR 155X                     </t>
  </si>
  <si>
    <t>7622210745293</t>
  </si>
  <si>
    <t xml:space="preserve">CHOC MILKA CASTANIA CARAM 55X                     </t>
  </si>
  <si>
    <t>9012200872739</t>
  </si>
  <si>
    <t xml:space="preserve">CHOC MILKA CHOCO SWING 300X                       </t>
  </si>
  <si>
    <t>7622300844905</t>
  </si>
  <si>
    <t xml:space="preserve">CHOC MILKA DDL 29X                                </t>
  </si>
  <si>
    <t>7622300844929</t>
  </si>
  <si>
    <t xml:space="preserve">CHOC MILKA DDL BCO 29X                            </t>
  </si>
  <si>
    <t>7622210795625</t>
  </si>
  <si>
    <t xml:space="preserve">CHOC MILKA LCHE 20X                               </t>
  </si>
  <si>
    <t>7622300990114</t>
  </si>
  <si>
    <t xml:space="preserve">CHOC MILKA LECHE 150X                             </t>
  </si>
  <si>
    <t>7622210278678</t>
  </si>
  <si>
    <t xml:space="preserve">CHOC MILKA OREO 300X                              </t>
  </si>
  <si>
    <t>7622300631574</t>
  </si>
  <si>
    <t xml:space="preserve">CHOC MILKA &amp; OREO 100X                            </t>
  </si>
  <si>
    <t>7622210795908</t>
  </si>
  <si>
    <t xml:space="preserve">CHOC MILKA OREO BLANCO 20X                        </t>
  </si>
  <si>
    <t>7622300990213</t>
  </si>
  <si>
    <t xml:space="preserve">CHOC MILKA OREO BLANCO 155X                       </t>
  </si>
  <si>
    <t>7622210678171</t>
  </si>
  <si>
    <t xml:space="preserve">CHOC MILKA STRAWB CHEESE 300X                     </t>
  </si>
  <si>
    <t>7622210693266</t>
  </si>
  <si>
    <t xml:space="preserve">CHOC MILKA WHOLENUTS 270X                         </t>
  </si>
  <si>
    <t xml:space="preserve">77914217     </t>
  </si>
  <si>
    <t xml:space="preserve">CHOC SHOT 35X                                     </t>
  </si>
  <si>
    <t xml:space="preserve">77983992     </t>
  </si>
  <si>
    <t xml:space="preserve">CHOC SHOT BLANCO 35X                              </t>
  </si>
  <si>
    <t>7791249451656</t>
  </si>
  <si>
    <t xml:space="preserve">CHOC SHOT 90X                                     </t>
  </si>
  <si>
    <t>7622300424084</t>
  </si>
  <si>
    <t xml:space="preserve">CHOC SHOT 170X                                    </t>
  </si>
  <si>
    <t xml:space="preserve">77995681     </t>
  </si>
  <si>
    <t xml:space="preserve">CHOC T.RHODESIA OBLEA 22X                         </t>
  </si>
  <si>
    <t xml:space="preserve">77900845     </t>
  </si>
  <si>
    <t xml:space="preserve">CHOC T.TITA OBLEA 19X                             </t>
  </si>
  <si>
    <t>7614500010013</t>
  </si>
  <si>
    <t xml:space="preserve">CHOC TOBLERONE LECH 100X                          </t>
  </si>
  <si>
    <t xml:space="preserve">PAPE ELEGANTE H/S ALOE 6X30X                      </t>
  </si>
  <si>
    <t>ALTA DE OFERTA</t>
  </si>
  <si>
    <t xml:space="preserve">GAS  COCA COLA ORIG PET 3X                        </t>
  </si>
  <si>
    <t xml:space="preserve">GAS  CRUSH MANZA 3X                               </t>
  </si>
  <si>
    <t xml:space="preserve">GAS  CRUSH NJA 3X                                 </t>
  </si>
  <si>
    <t xml:space="preserve">GAS  CRUSH POMELO 3X                              </t>
  </si>
  <si>
    <t xml:space="preserve">GAS  CRUSH LIMA LIMON 3X                          </t>
  </si>
  <si>
    <t xml:space="preserve">AGUA BENEDICTINO S/G 2X                           </t>
  </si>
  <si>
    <t>7792280006270</t>
  </si>
  <si>
    <t xml:space="preserve">GALD CACHAMAI AVENA / PASAS 165X                  </t>
  </si>
  <si>
    <t>7792280006287</t>
  </si>
  <si>
    <t xml:space="preserve">GALD CACHAMAI SALVADO 160X                        </t>
  </si>
  <si>
    <t>7792280000353</t>
  </si>
  <si>
    <t xml:space="preserve">TEHI CACHAMAI BOLDO 20X                           </t>
  </si>
  <si>
    <t>7792280000377</t>
  </si>
  <si>
    <t xml:space="preserve">TEHI CACHAMAI MANZ 20X                            </t>
  </si>
  <si>
    <t>7792280000360</t>
  </si>
  <si>
    <t xml:space="preserve">TEHI CACHAMAI MENTA 20X                           </t>
  </si>
  <si>
    <t>7792280000339</t>
  </si>
  <si>
    <t xml:space="preserve">TEHI CACHAMAI MEZ HIERB AMAR 2                    </t>
  </si>
  <si>
    <t>7792280000346</t>
  </si>
  <si>
    <t xml:space="preserve">TEHI CACHAMAI MEZ HIERB ROSA 2                    </t>
  </si>
  <si>
    <t>7792280000537</t>
  </si>
  <si>
    <t xml:space="preserve">TEHI CACHAMAI TILO 20X                            </t>
  </si>
  <si>
    <t>7791078022713</t>
  </si>
  <si>
    <t xml:space="preserve">CERE GRANIX BOCAD AVELL 180X                      </t>
  </si>
  <si>
    <t>7790045002123</t>
  </si>
  <si>
    <t xml:space="preserve">CERE GRANIX BOCAD DE CERE 180X                    </t>
  </si>
  <si>
    <t>7791078022706</t>
  </si>
  <si>
    <t xml:space="preserve">CERE GRANIX BOCAD.FRU 180X                        </t>
  </si>
  <si>
    <t>7790045001607</t>
  </si>
  <si>
    <t xml:space="preserve">CERE GRANIX SKARCH 240X                           </t>
  </si>
  <si>
    <t>7790045001188</t>
  </si>
  <si>
    <t xml:space="preserve">GALD GRANIX FRUTIGRAN  AVE/PAS 250X               </t>
  </si>
  <si>
    <t>7790045824893</t>
  </si>
  <si>
    <t xml:space="preserve">GALD GRANIX FRUTIGRAN C/CHIP CH 255X              </t>
  </si>
  <si>
    <t>7790045001195</t>
  </si>
  <si>
    <t xml:space="preserve">GALD GRANIX FRUTIGRAN SAL DUL 250X                </t>
  </si>
  <si>
    <t>7790045825395</t>
  </si>
  <si>
    <t xml:space="preserve">GALD GRANIX FRUTIGRAN SEM CHI/LIN 260             </t>
  </si>
  <si>
    <t>7790045825401</t>
  </si>
  <si>
    <t xml:space="preserve">GALD GRANIX FRUTIGRAN SEM SE/GIR 260X             </t>
  </si>
  <si>
    <t>7790045823452</t>
  </si>
  <si>
    <t xml:space="preserve">GALD GRANIX FRUTIGRAN TROP 250X                   </t>
  </si>
  <si>
    <t>7790045001089</t>
  </si>
  <si>
    <t xml:space="preserve">GALS GRANIX S/SAL 200X                            </t>
  </si>
  <si>
    <t>7790045827740</t>
  </si>
  <si>
    <t xml:space="preserve">GALS GRANIX S/SAL 600X                            </t>
  </si>
  <si>
    <t>7790045827047</t>
  </si>
  <si>
    <t xml:space="preserve">GALS GRANIX SEMOLADAS 420X                        </t>
  </si>
  <si>
    <t>7792280000469</t>
  </si>
  <si>
    <t xml:space="preserve">YERH CACHAMATE AMARILLA 500X                      </t>
  </si>
  <si>
    <t>7792280001466</t>
  </si>
  <si>
    <t xml:space="preserve">YERH CACHAMATE ROSA 500X                          </t>
  </si>
  <si>
    <t>7790490001795</t>
  </si>
  <si>
    <t xml:space="preserve">EDUL BARNY 250X                                   </t>
  </si>
  <si>
    <t>7790490998231</t>
  </si>
  <si>
    <t xml:space="preserve">EDUL HILERET CLASICO FORTE LIQ 250X               </t>
  </si>
  <si>
    <t>7790490998309</t>
  </si>
  <si>
    <t xml:space="preserve">EDUL HILERET CLASICO FORTE LIQ 500X               </t>
  </si>
  <si>
    <t>7794940000796</t>
  </si>
  <si>
    <t xml:space="preserve">EDUL HILERET FORTE C/STEVIA LIQ 200X              </t>
  </si>
  <si>
    <t>7794940000536</t>
  </si>
  <si>
    <t xml:space="preserve">EDUP HILERET LIGHT 500X                           </t>
  </si>
  <si>
    <t>7794940000109</t>
  </si>
  <si>
    <t xml:space="preserve">EDUS HILERET 1A10 SOB 50X                         </t>
  </si>
  <si>
    <t>7794940000765</t>
  </si>
  <si>
    <t xml:space="preserve">EDUS HILERET FORTE C/STEVIA SOB 100X              </t>
  </si>
  <si>
    <t>7794940000758</t>
  </si>
  <si>
    <t xml:space="preserve">EDUS HILERET FORTE C/STEVIA SOB 50X               </t>
  </si>
  <si>
    <t>7790040142992</t>
  </si>
  <si>
    <t xml:space="preserve">GALD CHOCOLINAS NEGRO 258X                        </t>
  </si>
  <si>
    <t>7790040929906</t>
  </si>
  <si>
    <t xml:space="preserve">GALD B.CHOCOLINAS 170X                            </t>
  </si>
  <si>
    <t>7790040111004</t>
  </si>
  <si>
    <t xml:space="preserve">GALD B.CHOCOLINAS 250X                            </t>
  </si>
  <si>
    <t>7790040128026</t>
  </si>
  <si>
    <t xml:space="preserve">GALD CHOCOLINA 100X                               </t>
  </si>
  <si>
    <t>7790040143258</t>
  </si>
  <si>
    <t xml:space="preserve">GALD B. COQUITAS 177X                             </t>
  </si>
  <si>
    <t>7790040117389</t>
  </si>
  <si>
    <t xml:space="preserve">GALD B.COQUITAS 260X                              </t>
  </si>
  <si>
    <t>7790580712211</t>
  </si>
  <si>
    <t xml:space="preserve">GALD A.DIVERSION 390X                             </t>
  </si>
  <si>
    <t>7790040929609</t>
  </si>
  <si>
    <t xml:space="preserve">GALD BAGLEY SURTIDO 400X                          </t>
  </si>
  <si>
    <t>7790040704909</t>
  </si>
  <si>
    <t xml:space="preserve">GALS A.SERRANAS SAND 3X112X                       </t>
  </si>
  <si>
    <t>7790040377806</t>
  </si>
  <si>
    <t xml:space="preserve">GALS B.CRIOLLITAS 300X                            </t>
  </si>
  <si>
    <t>7790040725102</t>
  </si>
  <si>
    <t xml:space="preserve">GALS A.SERRANITAS RED 315X                        </t>
  </si>
  <si>
    <t>7790040872202</t>
  </si>
  <si>
    <t xml:space="preserve">GALS B.TRAVIATA 303X                              </t>
  </si>
  <si>
    <t>8996|14149</t>
  </si>
  <si>
    <t>1 ROTI SANDWICH MILA DE POLLO x1 + 1 GAS  PEPSI ORIGINAL LATA 354X</t>
  </si>
  <si>
    <t>7426|14149</t>
  </si>
  <si>
    <t>1 ROTI SANDWICH MILA CARNE x 1 + 1 GAS  PEPSI ORIGINAL LATA 354X</t>
  </si>
  <si>
    <t xml:space="preserve">BISO GATORADE MORAS S/AZUC 400X                   </t>
  </si>
  <si>
    <t xml:space="preserve">BISO GATORADE KIWI S/AZUC 400X                    </t>
  </si>
  <si>
    <t xml:space="preserve">77940131     </t>
  </si>
  <si>
    <t xml:space="preserve">TURR ARCOR 25X                                    </t>
  </si>
  <si>
    <t>3x$1000</t>
  </si>
  <si>
    <t xml:space="preserve">ADER KANSAS AIOLI SAUCE 265X                      </t>
  </si>
  <si>
    <t xml:space="preserve">ADER KANSAS BARBACOA 295X                         </t>
  </si>
  <si>
    <t xml:space="preserve">ADER KANSAS CAESAR 260X                           </t>
  </si>
  <si>
    <t xml:space="preserve">ADER KANSAS HONEY MUSTARD 280X                    </t>
  </si>
  <si>
    <t xml:space="preserve">ADER KANSAS KETCHUP 295X                          </t>
  </si>
  <si>
    <t xml:space="preserve">ADER ARYTZA CHIMI ETIQ/NEGRA 360X                 </t>
  </si>
  <si>
    <t xml:space="preserve">ADER ARYTZA CHIMI PICANTE 360X                    </t>
  </si>
  <si>
    <t xml:space="preserve">ADER ARYTZA MAYONESA 340X                         </t>
  </si>
  <si>
    <t xml:space="preserve">ADER ARYTZA MAYONESA ZANAHORIA 190X               </t>
  </si>
  <si>
    <t xml:space="preserve">ADER ARYTZA MOST CLASICA 360X                     </t>
  </si>
  <si>
    <t xml:space="preserve">ADER ARYTZA MOST S/SAL 360X                       </t>
  </si>
  <si>
    <t xml:space="preserve">ADER ARYTZA PIMENTON AHUM DUL 95X                 </t>
  </si>
  <si>
    <t xml:space="preserve">ADER ARYTZA PROVENZAL 190X                        </t>
  </si>
  <si>
    <t xml:space="preserve">ADER ARYTZA SALSA BARBACOA 370X                   </t>
  </si>
  <si>
    <t xml:space="preserve">ADER ARYTZA SALSA BARBACOA 400X                   </t>
  </si>
  <si>
    <t xml:space="preserve">ADER ARYTZA SALSA ETIQ/NEG CRIOLLA 360X           </t>
  </si>
  <si>
    <t xml:space="preserve">ADER ARYTZA SALSA GOLF VEGANA 190X                </t>
  </si>
  <si>
    <t xml:space="preserve">AGUS V.SUR LEVITE POM 1.5X                        </t>
  </si>
  <si>
    <t xml:space="preserve">AGUS V.SUR LEVITE MZNA 1.5X                       </t>
  </si>
  <si>
    <t xml:space="preserve">AGUS V.SUR LEVITE PERA 1.5X                       </t>
  </si>
  <si>
    <t xml:space="preserve">AGUS V.SUR LEVITE LIMONADA 1.5X                   </t>
  </si>
  <si>
    <t>CERV ISENBECK LAT 473X</t>
  </si>
  <si>
    <t>of $1520</t>
  </si>
  <si>
    <t xml:space="preserve">YERB ROSAMONTE CAMPEONES 500X                     </t>
  </si>
  <si>
    <t xml:space="preserve">CERV SCHNEIDER LAT 473X                           </t>
  </si>
  <si>
    <t xml:space="preserve">AGUA BRIO S/GAS 2.25X                             </t>
  </si>
  <si>
    <t xml:space="preserve">CERV IMPERIAL GOLDEN LATA 473X                    </t>
  </si>
  <si>
    <t xml:space="preserve">CERV HEINEKEN L.NECK BOT 330X                     </t>
  </si>
  <si>
    <t xml:space="preserve">AGUA V VICENCIO S/G 2X                            </t>
  </si>
  <si>
    <t xml:space="preserve">CERV SCHNEIDER REMIX LIMON LAT 473X               </t>
  </si>
  <si>
    <t xml:space="preserve">CERV HEINEKEN 0.0 LAT 473X                        </t>
  </si>
  <si>
    <t xml:space="preserve">CERV HEINEKEN L.NECK 0.0 330x                     </t>
  </si>
  <si>
    <t xml:space="preserve">BISO FULL SPORT FRESH BLUE 500X                   </t>
  </si>
  <si>
    <t xml:space="preserve">BISO FULL SPORT TROP. 500X                        </t>
  </si>
  <si>
    <t xml:space="preserve">CERV MILLER DRAFT L/NECK 330X                     </t>
  </si>
  <si>
    <t xml:space="preserve">BISO FULL SPORT MANZANA 500X                      </t>
  </si>
  <si>
    <t xml:space="preserve">CERV GROLSCH LATA 473X                            </t>
  </si>
  <si>
    <t xml:space="preserve">CERV WARSTEINER LAT 473X                          </t>
  </si>
  <si>
    <t xml:space="preserve">CERV IMPERIAL GOLDEN S/ALCOHOL 473X               </t>
  </si>
  <si>
    <t xml:space="preserve">CERV AMSTEL LAGER LATA 473X                       </t>
  </si>
  <si>
    <t xml:space="preserve">AGUA VILLA DEL SUR 6.25X                          </t>
  </si>
  <si>
    <t xml:space="preserve">CER1 SCHNEIDER RET 1X                             </t>
  </si>
  <si>
    <t xml:space="preserve">CER1 MILLER RETORN 1X                             </t>
  </si>
  <si>
    <t xml:space="preserve">CERV IMPERIAL GOLDEN 330X                         </t>
  </si>
  <si>
    <t xml:space="preserve">AGUS V.SUR LEVITE POM.ROSADO 2.25X                </t>
  </si>
  <si>
    <t xml:space="preserve">AGUS V.SUR LEVITE POMELO 2.25X                    </t>
  </si>
  <si>
    <t xml:space="preserve">COFR SIMPLOT CRUNCH 700X                          </t>
  </si>
  <si>
    <t xml:space="preserve">COFR SIMPLOT STEAKHOUSE 700X                      </t>
  </si>
  <si>
    <t xml:space="preserve">COFR SIMPLOT TRAD 1.100X                          </t>
  </si>
  <si>
    <t xml:space="preserve">COFR SIMPLOT TRAD 700X                            </t>
  </si>
  <si>
    <t xml:space="preserve">COCO SADIA TIRITAS DE POLLO 300X                  </t>
  </si>
  <si>
    <t xml:space="preserve">COHA PATY HAMB DE CASA 2X120X                     </t>
  </si>
  <si>
    <t xml:space="preserve">COPO SADIA NUGGETS SAURIO 900X                    </t>
  </si>
  <si>
    <t xml:space="preserve">COHA PATY HAMB CLASI 2X160X                       </t>
  </si>
  <si>
    <t xml:space="preserve">COHA PATY HAMB CANCHA 2X125X                      </t>
  </si>
  <si>
    <t xml:space="preserve">COPO SADIA PATITAS POLLO 720X                     </t>
  </si>
  <si>
    <t xml:space="preserve">COCO GOOD MARK MILA 4X340X                        </t>
  </si>
  <si>
    <t xml:space="preserve">COHA BARFY MED 2X55X                              </t>
  </si>
  <si>
    <t xml:space="preserve">COHA BARFY MED 4X276X                             </t>
  </si>
  <si>
    <t xml:space="preserve">COHA PATY HAMB FIN 2X55X                          </t>
  </si>
  <si>
    <t xml:space="preserve">YOGU LS.YOGURISIMO NATU GRIEGO S/AZU 300X         </t>
  </si>
  <si>
    <t xml:space="preserve">YOGU LS.YOGURISIMO NATU GRIEGO C/AZU 300X         </t>
  </si>
  <si>
    <t xml:space="preserve">YOGU LS.YOGURISIMO GRIEGO VAIN 140X               </t>
  </si>
  <si>
    <t xml:space="preserve">YOGU LS.YOGURISIMO GRIEGO FRUT 140X               </t>
  </si>
  <si>
    <t xml:space="preserve">YOGU LS.YOGURISIMO ENT GRIEGO NATU/ENDL 190X      </t>
  </si>
  <si>
    <t xml:space="preserve">YOGU LS.YOGURISIMO GRIEGO ENT S/AZU 190X          </t>
  </si>
  <si>
    <t xml:space="preserve">YOGU LS.SER NATU 300X                             </t>
  </si>
  <si>
    <t xml:space="preserve">LAPO LS.DANETTE DDL 4X3 380X                      </t>
  </si>
  <si>
    <t xml:space="preserve">LAPO LS.DANETTE FLAN 4X3 380X                     </t>
  </si>
  <si>
    <t xml:space="preserve">LAPO LS.DANETTE CHOCO 4X3 380X                    </t>
  </si>
  <si>
    <t xml:space="preserve">LAPO LS.DANETTE FLAN VAIN 190X                    </t>
  </si>
  <si>
    <t xml:space="preserve">LAPO LS.DANETTE CHOC 190X                         </t>
  </si>
  <si>
    <t xml:space="preserve">LAPO LS.DANETTE DDL 190X                          </t>
  </si>
  <si>
    <t xml:space="preserve">LAPO LS.DANETTE CREM AMER 190X                    </t>
  </si>
  <si>
    <t xml:space="preserve">YOGU LS.NUTR.ACT BAT ENT VAIN 120X                </t>
  </si>
  <si>
    <t xml:space="preserve">YOGU LS.NUTR.ACT BAT ENT FRUT 120X                </t>
  </si>
  <si>
    <t xml:space="preserve">YOGU LS.NUTR.ACT BAT ENT DUR 120X                 </t>
  </si>
  <si>
    <t xml:space="preserve">YOGU LS.CLASICO NUTR.ACT ENT NAT S/ENDU 120X      </t>
  </si>
  <si>
    <t xml:space="preserve">YOGU LS.NUTR.ACT FIRM ENT VAIN 120X               </t>
  </si>
  <si>
    <t xml:space="preserve">YOGU LA.NUTR.ACT FIRM ENT FRUT 120X               </t>
  </si>
  <si>
    <t xml:space="preserve">YOGU LS.NUTR.ACT BAT DESC VAIN 120X               </t>
  </si>
  <si>
    <t xml:space="preserve">YOGU LS.NUTR.ACT BAT DESC FRUT 120X               </t>
  </si>
  <si>
    <t xml:space="preserve">YOGU LS.BATIDO NUTR.ACT C/CONF 164X               </t>
  </si>
  <si>
    <t xml:space="preserve">YOGU LS.CLASICO NUTR.ACT ENT C/CERE 159X          </t>
  </si>
  <si>
    <t xml:space="preserve">YOGU LA.NUTR.ACT DESC C/CERE 157X                 </t>
  </si>
  <si>
    <t xml:space="preserve">LAQU LS. CLASICO ENT VIT 290X                     </t>
  </si>
  <si>
    <t xml:space="preserve">LAQU LA SERENISIMA LIGHT 290X                     </t>
  </si>
  <si>
    <t xml:space="preserve">LAQU LS. CLASICO ENT VIT 460X                     </t>
  </si>
  <si>
    <t xml:space="preserve">LAQU LA SERENISIMA LIGHT 460X                     </t>
  </si>
  <si>
    <t xml:space="preserve">YOGU LS.CLASICO FIRME NUTR.ACT ENT VAI 190X       </t>
  </si>
  <si>
    <t xml:space="preserve">YOGU LS.CLASICO FIRME NUTR.ACT ENT FRU 190X       </t>
  </si>
  <si>
    <t xml:space="preserve">YOGU LS.CLASICO NUTR.ACT FIRME DESC/VAI 190X      </t>
  </si>
  <si>
    <t xml:space="preserve">YOGU LS.CLASICO NUTR.ACT DESC FRUT 190X           </t>
  </si>
  <si>
    <t xml:space="preserve">LAQU CASANCREM ENT FORT 290X                      </t>
  </si>
  <si>
    <t xml:space="preserve">LAQU CASANCREM FS VIT B3 290X                     </t>
  </si>
  <si>
    <t xml:space="preserve">LAQU CASANCREM LIGHT VIT B3 290X                  </t>
  </si>
  <si>
    <t xml:space="preserve">LAQU CASANCREM ENT 500X                           </t>
  </si>
  <si>
    <t xml:space="preserve">LAQU CASANCREM BALANCE 500X                       </t>
  </si>
  <si>
    <t xml:space="preserve">YOGU LS.CLASICO NUTR.ACT SACH ENT VAI 900X        </t>
  </si>
  <si>
    <t xml:space="preserve">YOGU LS.CLASICO NUTR.ACT SACH ENT FRU 900X        </t>
  </si>
  <si>
    <t xml:space="preserve">YOGU LS.CLASICO NUTR.ACT SACH ENT DUR 900X        </t>
  </si>
  <si>
    <t xml:space="preserve">YOGU LS.NUTR.ACT CLASICO DESC VAIN 900X           </t>
  </si>
  <si>
    <t xml:space="preserve">YOGU LS.NUTR.ACT DESC FRUT 900X                   </t>
  </si>
  <si>
    <t xml:space="preserve">YOGU GRANC ENT.BEB VAIN 900X                      </t>
  </si>
  <si>
    <t xml:space="preserve">YOGU GRANC ENT.BEB FRUT 900X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</si>
</sst>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&quot;$&quot;\ #,##0.00;[Red]\-&quot;$&quot;\ #,##0.00"/>
    <numFmt numFmtId="165" formatCode="dd/mm/yyyy;@"/>
    <numFmt numFmtId="166" formatCode="_-[$$-2C0A]\ * #,##0.00_-;\-[$$-2C0A]\ * #,##0.00_-;_-[$$-2C0A]\ * &quot;-&quot;??_-;_-@_-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  <font>
      <b/>
      <sz val="9"/>
      <color theme="1"/>
      <name val="Aptos Narrow"/>
      <family val="2"/>
    </font>
    <font>
      <b/>
      <sz val="9"/>
      <color rgb="FFFF0000"/>
      <name val="Aptos Narrow"/>
      <family val="2"/>
    </font>
    <font>
      <sz val="11"/>
      <name val="Calibri"/>
      <family val="2"/>
      <scheme val="minor"/>
    </font>
    <font>
      <b/>
      <sz val="10"/>
      <color theme="1"/>
      <name val="Aptos Narrow"/>
      <family val="2"/>
    </font>
    <font>
      <b/>
      <sz val="10"/>
      <color rgb="FFFF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2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165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6" fontId="2" fillId="0" borderId="0" xfId="0" applyNumberFormat="1" applyFont="1"/>
    <xf numFmtId="165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166" fontId="3" fillId="0" borderId="0" xfId="0" applyNumberFormat="1" applyFont="1"/>
    <xf numFmtId="0" fontId="9" fillId="0" borderId="0" xfId="0" applyFont="1"/>
    <xf numFmtId="1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2" fillId="2" borderId="0" xfId="0" applyFont="1" applyFill="1"/>
    <xf numFmtId="166" fontId="2" fillId="2" borderId="0" xfId="0" applyNumberFormat="1" applyFont="1" applyFill="1"/>
    <xf numFmtId="14" fontId="2" fillId="2" borderId="0" xfId="0" applyNumberFormat="1" applyFont="1" applyFill="1"/>
    <xf numFmtId="166" fontId="0" fillId="0" borderId="0" xfId="0" applyNumberFormat="1"/>
    <xf numFmtId="166" fontId="6" fillId="0" borderId="0" xfId="0" applyNumberFormat="1" applyFont="1"/>
    <xf numFmtId="0" fontId="8" fillId="2" borderId="0" xfId="0" applyFont="1" applyFill="1"/>
    <xf numFmtId="0" fontId="11" fillId="0" borderId="0" xfId="0" applyFont="1"/>
    <xf numFmtId="1" fontId="11" fillId="0" borderId="0" xfId="0" applyNumberFormat="1" applyFont="1"/>
    <xf numFmtId="166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166" fontId="10" fillId="0" borderId="0" xfId="0" applyNumberFormat="1" applyFont="1"/>
    <xf numFmtId="0" fontId="8" fillId="0" borderId="0" xfId="0" applyFont="1"/>
    <xf numFmtId="166" fontId="8" fillId="0" borderId="0" xfId="0" applyNumberFormat="1" applyFont="1"/>
    <xf numFmtId="14" fontId="8" fillId="0" borderId="0" xfId="0" applyNumberFormat="1" applyFont="1"/>
    <xf numFmtId="166" fontId="8" fillId="3" borderId="0" xfId="0" applyNumberFormat="1" applyFont="1" applyFill="1"/>
    <xf numFmtId="0" fontId="4" fillId="0" borderId="0" xfId="0" applyFont="1"/>
    <xf numFmtId="166" fontId="4" fillId="0" borderId="0" xfId="0" applyNumberFormat="1" applyFont="1"/>
    <xf numFmtId="14" fontId="4" fillId="0" borderId="0" xfId="0" applyNumberFormat="1" applyFont="1"/>
    <xf numFmtId="0" fontId="12" fillId="0" borderId="0" xfId="0" applyFont="1"/>
    <xf numFmtId="0" fontId="4" fillId="0" borderId="0" xfId="0" applyFont="1" applyAlignment="1">
      <alignment horizontal="center"/>
    </xf>
    <xf numFmtId="165" fontId="4" fillId="2" borderId="0" xfId="0" applyNumberFormat="1" applyFont="1" applyFill="1" applyAlignment="1">
      <alignment horizontal="center" vertical="center"/>
    </xf>
    <xf numFmtId="166" fontId="2" fillId="2" borderId="0" xfId="1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6" fontId="3" fillId="2" borderId="0" xfId="1" applyNumberFormat="1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3" fillId="4" borderId="0" xfId="0" applyNumberFormat="1" applyFont="1" applyFill="1" applyAlignment="1">
      <alignment horizontal="center"/>
    </xf>
    <xf numFmtId="166" fontId="0" fillId="4" borderId="0" xfId="0" applyNumberFormat="1" applyFill="1"/>
    <xf numFmtId="166" fontId="3" fillId="4" borderId="0" xfId="0" applyNumberFormat="1" applyFont="1" applyFill="1"/>
    <xf numFmtId="0" fontId="3" fillId="4" borderId="0" xfId="0" applyFont="1" applyFill="1" applyAlignment="1">
      <alignment horizontal="center"/>
    </xf>
    <xf numFmtId="0" fontId="3" fillId="4" borderId="0" xfId="0" applyFont="1" applyFill="1"/>
    <xf numFmtId="1" fontId="3" fillId="4" borderId="0" xfId="0" applyNumberFormat="1" applyFont="1" applyFill="1"/>
    <xf numFmtId="166" fontId="4" fillId="2" borderId="0" xfId="1" applyNumberFormat="1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" fillId="2" borderId="0" xfId="0" applyFont="1" applyFill="1"/>
    <xf numFmtId="0" fontId="9" fillId="2" borderId="0" xfId="0" applyFont="1" applyFill="1" applyAlignment="1">
      <alignment horizontal="center"/>
    </xf>
    <xf numFmtId="1" fontId="9" fillId="2" borderId="0" xfId="0" applyNumberFormat="1" applyFont="1" applyFill="1"/>
    <xf numFmtId="166" fontId="9" fillId="2" borderId="0" xfId="0" applyNumberFormat="1" applyFont="1" applyFill="1"/>
    <xf numFmtId="14" fontId="9" fillId="2" borderId="0" xfId="0" applyNumberFormat="1" applyFont="1" applyFill="1" applyAlignment="1">
      <alignment horizontal="center"/>
    </xf>
    <xf numFmtId="166" fontId="14" fillId="2" borderId="0" xfId="0" applyNumberFormat="1" applyFont="1" applyFill="1"/>
    <xf numFmtId="14" fontId="9" fillId="2" borderId="0" xfId="0" applyNumberFormat="1" applyFont="1" applyFill="1"/>
    <xf numFmtId="166" fontId="2" fillId="4" borderId="0" xfId="1" applyNumberFormat="1" applyFont="1" applyFill="1" applyAlignment="1">
      <alignment horizontal="center" vertical="center"/>
    </xf>
    <xf numFmtId="0" fontId="9" fillId="4" borderId="0" xfId="0" applyFont="1" applyFill="1"/>
    <xf numFmtId="0" fontId="9" fillId="4" borderId="0" xfId="0" applyFont="1" applyFill="1" applyAlignment="1">
      <alignment horizontal="center"/>
    </xf>
    <xf numFmtId="1" fontId="9" fillId="4" borderId="0" xfId="0" applyNumberFormat="1" applyFont="1" applyFill="1"/>
    <xf numFmtId="166" fontId="9" fillId="4" borderId="0" xfId="0" applyNumberFormat="1" applyFont="1" applyFill="1"/>
    <xf numFmtId="0" fontId="2" fillId="4" borderId="0" xfId="0" applyFont="1" applyFill="1" applyAlignment="1">
      <alignment horizontal="center"/>
    </xf>
    <xf numFmtId="14" fontId="9" fillId="4" borderId="0" xfId="0" applyNumberFormat="1" applyFont="1" applyFill="1" applyAlignment="1">
      <alignment horizontal="center"/>
    </xf>
    <xf numFmtId="166" fontId="14" fillId="4" borderId="0" xfId="0" applyNumberFormat="1" applyFont="1" applyFill="1"/>
    <xf numFmtId="0" fontId="2" fillId="4" borderId="0" xfId="0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65" fontId="2" fillId="4" borderId="0" xfId="0" applyNumberFormat="1" applyFont="1" applyFill="1" applyAlignment="1">
      <alignment horizontal="center" vertical="center"/>
    </xf>
    <xf numFmtId="0" fontId="4" fillId="2" borderId="0" xfId="0" applyFont="1" applyFill="1"/>
    <xf numFmtId="166" fontId="4" fillId="2" borderId="0" xfId="0" applyNumberFormat="1" applyFont="1" applyFill="1"/>
    <xf numFmtId="166" fontId="8" fillId="2" borderId="0" xfId="0" applyNumberFormat="1" applyFont="1" applyFill="1"/>
    <xf numFmtId="14" fontId="4" fillId="2" borderId="0" xfId="0" applyNumberFormat="1" applyFont="1" applyFill="1"/>
    <xf numFmtId="166" fontId="13" fillId="2" borderId="0" xfId="0" applyNumberFormat="1" applyFont="1" applyFill="1"/>
    <xf numFmtId="0" fontId="14" fillId="0" borderId="0" xfId="0" applyFont="1"/>
    <xf numFmtId="0" fontId="4" fillId="4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" fontId="3" fillId="2" borderId="0" xfId="0" applyNumberFormat="1" applyFont="1" applyFill="1" applyAlignment="1">
      <alignment horizontal="center" vertical="center"/>
    </xf>
    <xf numFmtId="1" fontId="12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14" fontId="12" fillId="2" borderId="0" xfId="0" applyNumberFormat="1" applyFont="1" applyFill="1" applyAlignment="1">
      <alignment horizontal="center" vertical="center"/>
    </xf>
    <xf numFmtId="14" fontId="4" fillId="2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6" fontId="2" fillId="2" borderId="0" xfId="0" applyNumberFormat="1" applyFont="1" applyFill="1" applyAlignment="1">
      <alignment horizontal="center" vertical="center"/>
    </xf>
    <xf numFmtId="166" fontId="2" fillId="3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/>
    </xf>
    <xf numFmtId="1" fontId="4" fillId="4" borderId="0" xfId="0" applyNumberFormat="1" applyFont="1" applyFill="1" applyAlignment="1">
      <alignment horizontal="center" vertical="center"/>
    </xf>
    <xf numFmtId="166" fontId="2" fillId="4" borderId="0" xfId="0" applyNumberFormat="1" applyFont="1" applyFill="1" applyAlignment="1">
      <alignment horizontal="center" vertical="center"/>
    </xf>
    <xf numFmtId="166" fontId="3" fillId="2" borderId="0" xfId="0" applyNumberFormat="1" applyFont="1" applyFill="1" applyAlignment="1">
      <alignment horizontal="center" vertical="center"/>
    </xf>
    <xf numFmtId="166" fontId="12" fillId="2" borderId="0" xfId="0" applyNumberFormat="1" applyFont="1" applyFill="1" applyAlignment="1">
      <alignment horizontal="center" vertical="center"/>
    </xf>
    <xf numFmtId="166" fontId="13" fillId="2" borderId="0" xfId="0" applyNumberFormat="1" applyFont="1" applyFill="1" applyAlignment="1">
      <alignment horizontal="center" vertical="center"/>
    </xf>
    <xf numFmtId="1" fontId="2" fillId="2" borderId="3" xfId="0" applyNumberFormat="1" applyFont="1" applyFill="1" applyBorder="1" applyAlignment="1">
      <alignment horizontal="center" vertical="center"/>
    </xf>
    <xf numFmtId="166" fontId="8" fillId="2" borderId="0" xfId="0" applyNumberFormat="1" applyFont="1" applyFill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1" fontId="2" fillId="4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2" fontId="7" fillId="5" borderId="0" xfId="0" applyNumberFormat="1" applyFont="1" applyFill="1" applyAlignment="1">
      <alignment horizontal="center" vertical="center"/>
    </xf>
    <xf numFmtId="166" fontId="7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4" fontId="7" fillId="5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2" fontId="7" fillId="4" borderId="0" xfId="0" applyNumberFormat="1" applyFont="1" applyFill="1" applyAlignment="1">
      <alignment horizontal="center" vertical="center"/>
    </xf>
    <xf numFmtId="166" fontId="7" fillId="4" borderId="0" xfId="0" applyNumberFormat="1" applyFont="1" applyFill="1" applyAlignment="1">
      <alignment horizontal="center" vertical="center"/>
    </xf>
    <xf numFmtId="166" fontId="11" fillId="4" borderId="0" xfId="0" applyNumberFormat="1" applyFont="1" applyFill="1" applyAlignment="1">
      <alignment horizontal="center" vertical="center"/>
    </xf>
    <xf numFmtId="14" fontId="7" fillId="4" borderId="0" xfId="0" applyNumberFormat="1" applyFont="1" applyFill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166" fontId="7" fillId="2" borderId="0" xfId="0" applyNumberFormat="1" applyFont="1" applyFill="1" applyAlignment="1">
      <alignment horizontal="center" vertical="center"/>
    </xf>
    <xf numFmtId="166" fontId="11" fillId="2" borderId="0" xfId="0" applyNumberFormat="1" applyFont="1" applyFill="1" applyAlignment="1">
      <alignment horizontal="center" vertical="center"/>
    </xf>
    <xf numFmtId="14" fontId="7" fillId="2" borderId="0" xfId="0" applyNumberFormat="1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2" fontId="15" fillId="2" borderId="0" xfId="0" applyNumberFormat="1" applyFont="1" applyFill="1" applyAlignment="1">
      <alignment horizontal="center" vertical="center"/>
    </xf>
    <xf numFmtId="166" fontId="15" fillId="2" borderId="0" xfId="0" applyNumberFormat="1" applyFont="1" applyFill="1" applyAlignment="1">
      <alignment horizontal="center" vertical="center"/>
    </xf>
    <xf numFmtId="166" fontId="16" fillId="2" borderId="0" xfId="0" applyNumberFormat="1" applyFont="1" applyFill="1" applyAlignment="1">
      <alignment horizontal="center" vertical="center"/>
    </xf>
    <xf numFmtId="14" fontId="15" fillId="2" borderId="0" xfId="0" applyNumberFormat="1" applyFont="1" applyFill="1" applyAlignment="1">
      <alignment horizontal="center" vertical="center"/>
    </xf>
    <xf numFmtId="166" fontId="8" fillId="3" borderId="0" xfId="0" applyNumberFormat="1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66" fontId="13" fillId="3" borderId="0" xfId="0" applyNumberFormat="1" applyFont="1" applyFill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6" fillId="0" borderId="0" xfId="0" applyFont="1" applyFill="1"/>
    <xf numFmtId="0" fontId="6" fillId="0" borderId="0" xfId="0" applyFont="1" applyFill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N968"/>
  <sheetViews>
    <sheetView tabSelected="1" workbookViewId="0">
      <selection activeCell="J950" sqref="J950"/>
    </sheetView>
  </sheetViews>
  <sheetFormatPr baseColWidth="10" defaultRowHeight="15"/>
  <cols>
    <col min="1" max="1" width="8.85546875" bestFit="1" customWidth="1"/>
    <col min="2" max="2" width="9.5703125" bestFit="1" customWidth="1"/>
    <col min="3" max="3" width="28.85546875" customWidth="1"/>
    <col min="4" max="4" width="37.28515625" bestFit="1" customWidth="1"/>
    <col min="5" max="6" width="12" bestFit="1" customWidth="1"/>
    <col min="7" max="7" width="11.140625" bestFit="1" customWidth="1"/>
    <col min="8" max="8" width="10.42578125" bestFit="1" customWidth="1"/>
    <col min="9" max="9" width="10.7109375" bestFit="1" customWidth="1"/>
    <col min="10" max="10" width="31.85546875" style="12" customWidth="1"/>
    <col min="11" max="11" width="22.7109375" style="12" customWidth="1"/>
    <col min="12" max="12" width="32.28515625" style="12" bestFit="1" customWidth="1"/>
    <col min="13" max="13" width="12" bestFit="1" customWidth="1"/>
  </cols>
  <sheetData>
    <row r="1" spans="1:14" s="20" customFormat="1">
      <c r="A1" s="88" t="s">
        <v>0</v>
      </c>
      <c r="B1" s="88" t="s">
        <v>1</v>
      </c>
      <c r="C1" s="88" t="s">
        <v>2</v>
      </c>
      <c r="D1" s="88" t="s">
        <v>3</v>
      </c>
      <c r="E1" s="88" t="s">
        <v>4</v>
      </c>
      <c r="F1" s="88" t="s">
        <v>5</v>
      </c>
      <c r="G1" s="88" t="s">
        <v>6</v>
      </c>
      <c r="H1" s="88" t="s">
        <v>7</v>
      </c>
      <c r="I1" s="88" t="s">
        <v>8</v>
      </c>
      <c r="J1" s="88" t="s">
        <v>9</v>
      </c>
      <c r="K1" s="88" t="s">
        <v>10</v>
      </c>
      <c r="L1" s="88" t="s">
        <v>11</v>
      </c>
    </row>
    <row r="2" spans="1:14">
      <c r="A2" s="1">
        <v>19463</v>
      </c>
      <c r="B2" s="1">
        <v>6091</v>
      </c>
      <c r="C2" s="94" t="s">
        <v>157</v>
      </c>
      <c r="D2" s="1" t="s">
        <v>36</v>
      </c>
      <c r="E2" s="95">
        <v>2899.99</v>
      </c>
      <c r="F2" s="49">
        <v>2551.9911999999999</v>
      </c>
      <c r="G2" s="96">
        <v>-347.99879999999985</v>
      </c>
      <c r="H2" s="1" t="s">
        <v>17</v>
      </c>
      <c r="I2" s="1" t="s">
        <v>115</v>
      </c>
      <c r="J2" s="17">
        <v>46204</v>
      </c>
      <c r="K2" s="3">
        <v>46234</v>
      </c>
      <c r="L2" s="3" t="s">
        <v>21</v>
      </c>
      <c r="M2" s="30"/>
      <c r="N2" s="30"/>
    </row>
    <row r="3" spans="1:14">
      <c r="A3" s="1">
        <v>5670</v>
      </c>
      <c r="B3" s="1">
        <v>7691</v>
      </c>
      <c r="C3" s="94" t="s">
        <v>158</v>
      </c>
      <c r="D3" s="1" t="s">
        <v>37</v>
      </c>
      <c r="E3" s="95">
        <v>4799.99</v>
      </c>
      <c r="F3" s="49">
        <v>4223.9911999999995</v>
      </c>
      <c r="G3" s="96">
        <v>-575.9988000000003</v>
      </c>
      <c r="H3" s="1" t="s">
        <v>17</v>
      </c>
      <c r="I3" s="1" t="s">
        <v>115</v>
      </c>
      <c r="J3" s="17">
        <v>46204</v>
      </c>
      <c r="K3" s="3">
        <v>46234</v>
      </c>
      <c r="L3" s="3" t="s">
        <v>21</v>
      </c>
      <c r="M3" s="30"/>
      <c r="N3" s="30"/>
    </row>
    <row r="4" spans="1:14">
      <c r="A4" s="1">
        <v>5720</v>
      </c>
      <c r="B4" s="1">
        <v>7690</v>
      </c>
      <c r="C4" s="94" t="s">
        <v>159</v>
      </c>
      <c r="D4" s="1" t="s">
        <v>38</v>
      </c>
      <c r="E4" s="95">
        <v>4799.99</v>
      </c>
      <c r="F4" s="49">
        <v>4223.9911999999995</v>
      </c>
      <c r="G4" s="96">
        <v>-575.9988000000003</v>
      </c>
      <c r="H4" s="1" t="s">
        <v>17</v>
      </c>
      <c r="I4" s="1" t="s">
        <v>115</v>
      </c>
      <c r="J4" s="17">
        <v>46204</v>
      </c>
      <c r="K4" s="3">
        <v>46234</v>
      </c>
      <c r="L4" s="3" t="s">
        <v>21</v>
      </c>
      <c r="M4" s="30"/>
      <c r="N4" s="30"/>
    </row>
    <row r="5" spans="1:14">
      <c r="A5" s="1">
        <v>12624</v>
      </c>
      <c r="B5" s="1">
        <v>7693</v>
      </c>
      <c r="C5" s="94" t="s">
        <v>160</v>
      </c>
      <c r="D5" s="1" t="s">
        <v>39</v>
      </c>
      <c r="E5" s="95">
        <v>4799.99</v>
      </c>
      <c r="F5" s="49">
        <v>4223.9911999999995</v>
      </c>
      <c r="G5" s="96">
        <v>-575.9988000000003</v>
      </c>
      <c r="H5" s="1" t="s">
        <v>17</v>
      </c>
      <c r="I5" s="1" t="s">
        <v>115</v>
      </c>
      <c r="J5" s="17">
        <v>46204</v>
      </c>
      <c r="K5" s="3">
        <v>46234</v>
      </c>
      <c r="L5" s="3" t="s">
        <v>21</v>
      </c>
      <c r="M5" s="30"/>
      <c r="N5" s="30"/>
    </row>
    <row r="6" spans="1:14">
      <c r="A6" s="1">
        <v>3402</v>
      </c>
      <c r="B6" s="1">
        <v>7692</v>
      </c>
      <c r="C6" s="94" t="s">
        <v>161</v>
      </c>
      <c r="D6" s="1" t="s">
        <v>40</v>
      </c>
      <c r="E6" s="95">
        <v>4799.99</v>
      </c>
      <c r="F6" s="49">
        <v>4223.9911999999995</v>
      </c>
      <c r="G6" s="96">
        <v>-575.9988000000003</v>
      </c>
      <c r="H6" s="1" t="s">
        <v>17</v>
      </c>
      <c r="I6" s="1" t="s">
        <v>115</v>
      </c>
      <c r="J6" s="17">
        <v>46204</v>
      </c>
      <c r="K6" s="3">
        <v>46234</v>
      </c>
      <c r="L6" s="3" t="s">
        <v>21</v>
      </c>
      <c r="M6" s="30"/>
      <c r="N6" s="30"/>
    </row>
    <row r="7" spans="1:14">
      <c r="A7" s="1">
        <v>15035</v>
      </c>
      <c r="B7" s="1">
        <v>8626</v>
      </c>
      <c r="C7" s="94" t="s">
        <v>162</v>
      </c>
      <c r="D7" s="1" t="s">
        <v>41</v>
      </c>
      <c r="E7" s="95">
        <v>4799.99</v>
      </c>
      <c r="F7" s="49">
        <v>4223.9911999999995</v>
      </c>
      <c r="G7" s="96">
        <v>-575.9988000000003</v>
      </c>
      <c r="H7" s="1" t="s">
        <v>17</v>
      </c>
      <c r="I7" s="1" t="s">
        <v>115</v>
      </c>
      <c r="J7" s="17">
        <v>46204</v>
      </c>
      <c r="K7" s="3">
        <v>46234</v>
      </c>
      <c r="L7" s="3" t="s">
        <v>21</v>
      </c>
      <c r="M7" s="30"/>
      <c r="N7" s="30"/>
    </row>
    <row r="8" spans="1:14">
      <c r="A8" s="1">
        <v>18364</v>
      </c>
      <c r="B8" s="1">
        <v>6009</v>
      </c>
      <c r="C8" s="94" t="s">
        <v>163</v>
      </c>
      <c r="D8" s="1" t="s">
        <v>42</v>
      </c>
      <c r="E8" s="95">
        <v>8399.99</v>
      </c>
      <c r="F8" s="49">
        <v>7391.9911999999995</v>
      </c>
      <c r="G8" s="96">
        <v>-1007.9988000000003</v>
      </c>
      <c r="H8" s="1" t="s">
        <v>17</v>
      </c>
      <c r="I8" s="1" t="s">
        <v>115</v>
      </c>
      <c r="J8" s="17">
        <v>46204</v>
      </c>
      <c r="K8" s="3">
        <v>46234</v>
      </c>
      <c r="L8" s="3" t="s">
        <v>21</v>
      </c>
      <c r="M8" s="30"/>
      <c r="N8" s="30"/>
    </row>
    <row r="9" spans="1:14">
      <c r="A9" s="1">
        <v>18594</v>
      </c>
      <c r="B9" s="1">
        <v>6032</v>
      </c>
      <c r="C9" s="94" t="s">
        <v>164</v>
      </c>
      <c r="D9" s="1" t="s">
        <v>43</v>
      </c>
      <c r="E9" s="95">
        <v>8399.99</v>
      </c>
      <c r="F9" s="49">
        <v>7391.9911999999995</v>
      </c>
      <c r="G9" s="96">
        <v>-1007.9988000000003</v>
      </c>
      <c r="H9" s="1" t="s">
        <v>17</v>
      </c>
      <c r="I9" s="1" t="s">
        <v>115</v>
      </c>
      <c r="J9" s="17">
        <v>46204</v>
      </c>
      <c r="K9" s="3">
        <v>46234</v>
      </c>
      <c r="L9" s="3" t="s">
        <v>21</v>
      </c>
      <c r="M9" s="30"/>
      <c r="N9" s="30"/>
    </row>
    <row r="10" spans="1:14">
      <c r="A10" s="1">
        <v>18395</v>
      </c>
      <c r="B10" s="1">
        <v>27</v>
      </c>
      <c r="C10" s="94" t="s">
        <v>165</v>
      </c>
      <c r="D10" s="1" t="s">
        <v>44</v>
      </c>
      <c r="E10" s="95">
        <v>8399.99</v>
      </c>
      <c r="F10" s="49">
        <v>7391.9911999999995</v>
      </c>
      <c r="G10" s="96">
        <v>-1007.9988000000003</v>
      </c>
      <c r="H10" s="1" t="s">
        <v>17</v>
      </c>
      <c r="I10" s="1" t="s">
        <v>115</v>
      </c>
      <c r="J10" s="17">
        <v>46204</v>
      </c>
      <c r="K10" s="3">
        <v>46234</v>
      </c>
      <c r="L10" s="3" t="s">
        <v>21</v>
      </c>
      <c r="M10" s="30"/>
      <c r="N10" s="30"/>
    </row>
    <row r="11" spans="1:14">
      <c r="A11" s="1">
        <v>18393</v>
      </c>
      <c r="B11" s="1">
        <v>10026</v>
      </c>
      <c r="C11" s="94" t="s">
        <v>166</v>
      </c>
      <c r="D11" s="1" t="s">
        <v>45</v>
      </c>
      <c r="E11" s="95">
        <v>8399.99</v>
      </c>
      <c r="F11" s="49">
        <v>7391.9911999999995</v>
      </c>
      <c r="G11" s="96">
        <v>-1007.9988000000003</v>
      </c>
      <c r="H11" s="1" t="s">
        <v>17</v>
      </c>
      <c r="I11" s="1" t="s">
        <v>115</v>
      </c>
      <c r="J11" s="17">
        <v>46204</v>
      </c>
      <c r="K11" s="3">
        <v>46234</v>
      </c>
      <c r="L11" s="3" t="s">
        <v>21</v>
      </c>
      <c r="M11" s="30"/>
      <c r="N11" s="30"/>
    </row>
    <row r="12" spans="1:14">
      <c r="A12" s="1">
        <v>18394</v>
      </c>
      <c r="B12" s="1">
        <v>6007</v>
      </c>
      <c r="C12" s="94" t="s">
        <v>167</v>
      </c>
      <c r="D12" s="1" t="s">
        <v>46</v>
      </c>
      <c r="E12" s="95">
        <v>8399.99</v>
      </c>
      <c r="F12" s="49">
        <v>7391.9911999999995</v>
      </c>
      <c r="G12" s="96">
        <v>-1007.9988000000003</v>
      </c>
      <c r="H12" s="1" t="s">
        <v>17</v>
      </c>
      <c r="I12" s="1" t="s">
        <v>115</v>
      </c>
      <c r="J12" s="17">
        <v>46204</v>
      </c>
      <c r="K12" s="3">
        <v>46234</v>
      </c>
      <c r="L12" s="3" t="s">
        <v>21</v>
      </c>
      <c r="M12" s="30"/>
      <c r="N12" s="30"/>
    </row>
    <row r="13" spans="1:14">
      <c r="A13" s="1">
        <v>14539</v>
      </c>
      <c r="B13" s="1">
        <v>7313</v>
      </c>
      <c r="C13" s="94" t="s">
        <v>168</v>
      </c>
      <c r="D13" s="1" t="s">
        <v>24</v>
      </c>
      <c r="E13" s="95">
        <v>1619.99</v>
      </c>
      <c r="F13" s="49">
        <v>1376.9914999999999</v>
      </c>
      <c r="G13" s="96">
        <v>-242.99850000000015</v>
      </c>
      <c r="H13" s="1" t="s">
        <v>14</v>
      </c>
      <c r="I13" s="1" t="s">
        <v>20</v>
      </c>
      <c r="J13" s="17">
        <v>46204</v>
      </c>
      <c r="K13" s="3">
        <v>46234</v>
      </c>
      <c r="L13" s="3" t="s">
        <v>21</v>
      </c>
      <c r="M13" s="30"/>
      <c r="N13" s="30"/>
    </row>
    <row r="14" spans="1:14">
      <c r="A14" s="1">
        <v>14540</v>
      </c>
      <c r="B14" s="1">
        <v>7237</v>
      </c>
      <c r="C14" s="94" t="s">
        <v>169</v>
      </c>
      <c r="D14" s="1" t="s">
        <v>25</v>
      </c>
      <c r="E14" s="95">
        <v>1619.99</v>
      </c>
      <c r="F14" s="49">
        <v>1376.9914999999999</v>
      </c>
      <c r="G14" s="96">
        <v>-242.99850000000015</v>
      </c>
      <c r="H14" s="1" t="s">
        <v>14</v>
      </c>
      <c r="I14" s="1" t="s">
        <v>20</v>
      </c>
      <c r="J14" s="17">
        <v>46204</v>
      </c>
      <c r="K14" s="3">
        <v>46234</v>
      </c>
      <c r="L14" s="3" t="s">
        <v>21</v>
      </c>
      <c r="M14" s="30"/>
      <c r="N14" s="30"/>
    </row>
    <row r="15" spans="1:14">
      <c r="A15" s="1">
        <v>14541</v>
      </c>
      <c r="B15" s="1">
        <v>7235</v>
      </c>
      <c r="C15" s="94" t="s">
        <v>170</v>
      </c>
      <c r="D15" s="1" t="s">
        <v>26</v>
      </c>
      <c r="E15" s="95">
        <v>1619.99</v>
      </c>
      <c r="F15" s="49">
        <v>1376.9914999999999</v>
      </c>
      <c r="G15" s="96">
        <v>-242.99850000000015</v>
      </c>
      <c r="H15" s="1" t="s">
        <v>14</v>
      </c>
      <c r="I15" s="1" t="s">
        <v>20</v>
      </c>
      <c r="J15" s="17">
        <v>46204</v>
      </c>
      <c r="K15" s="3">
        <v>46234</v>
      </c>
      <c r="L15" s="3" t="s">
        <v>21</v>
      </c>
      <c r="M15" s="30"/>
      <c r="N15" s="30"/>
    </row>
    <row r="16" spans="1:14">
      <c r="A16" s="1">
        <v>657690</v>
      </c>
      <c r="B16" s="1">
        <v>7236</v>
      </c>
      <c r="C16" s="94" t="s">
        <v>171</v>
      </c>
      <c r="D16" s="1" t="s">
        <v>27</v>
      </c>
      <c r="E16" s="95">
        <v>1619.99</v>
      </c>
      <c r="F16" s="49">
        <v>1376.9914999999999</v>
      </c>
      <c r="G16" s="96">
        <v>-242.99850000000015</v>
      </c>
      <c r="H16" s="1" t="s">
        <v>14</v>
      </c>
      <c r="I16" s="1" t="s">
        <v>20</v>
      </c>
      <c r="J16" s="17">
        <v>46204</v>
      </c>
      <c r="K16" s="3">
        <v>46234</v>
      </c>
      <c r="L16" s="3" t="s">
        <v>21</v>
      </c>
      <c r="M16" s="30"/>
      <c r="N16" s="30"/>
    </row>
    <row r="17" spans="1:14">
      <c r="A17" s="1">
        <v>657691</v>
      </c>
      <c r="B17" s="1">
        <v>7311</v>
      </c>
      <c r="C17" s="94" t="s">
        <v>172</v>
      </c>
      <c r="D17" s="1" t="s">
        <v>28</v>
      </c>
      <c r="E17" s="95">
        <v>1619.99</v>
      </c>
      <c r="F17" s="49">
        <v>1376.9914999999999</v>
      </c>
      <c r="G17" s="96">
        <v>-242.99850000000015</v>
      </c>
      <c r="H17" s="1" t="s">
        <v>14</v>
      </c>
      <c r="I17" s="1" t="s">
        <v>20</v>
      </c>
      <c r="J17" s="17">
        <v>46204</v>
      </c>
      <c r="K17" s="3">
        <v>46234</v>
      </c>
      <c r="L17" s="3" t="s">
        <v>21</v>
      </c>
      <c r="M17" s="30"/>
      <c r="N17" s="30"/>
    </row>
    <row r="18" spans="1:14">
      <c r="A18" s="1">
        <v>657791</v>
      </c>
      <c r="B18" s="1">
        <v>7312</v>
      </c>
      <c r="C18" s="94" t="s">
        <v>173</v>
      </c>
      <c r="D18" s="1" t="s">
        <v>29</v>
      </c>
      <c r="E18" s="95">
        <v>1619.99</v>
      </c>
      <c r="F18" s="49">
        <v>1376.9914999999999</v>
      </c>
      <c r="G18" s="96">
        <v>-242.99850000000015</v>
      </c>
      <c r="H18" s="1" t="s">
        <v>14</v>
      </c>
      <c r="I18" s="1" t="s">
        <v>20</v>
      </c>
      <c r="J18" s="17">
        <v>46204</v>
      </c>
      <c r="K18" s="3">
        <v>46234</v>
      </c>
      <c r="L18" s="3" t="s">
        <v>21</v>
      </c>
      <c r="M18" s="30"/>
      <c r="N18" s="30"/>
    </row>
    <row r="19" spans="1:14">
      <c r="A19" s="1">
        <v>5104</v>
      </c>
      <c r="B19" s="1">
        <v>7241</v>
      </c>
      <c r="C19" s="94" t="s">
        <v>174</v>
      </c>
      <c r="D19" s="1" t="s">
        <v>30</v>
      </c>
      <c r="E19" s="95">
        <v>1619.99</v>
      </c>
      <c r="F19" s="49">
        <v>1376.9914999999999</v>
      </c>
      <c r="G19" s="96">
        <v>-242.99850000000015</v>
      </c>
      <c r="H19" s="1" t="s">
        <v>14</v>
      </c>
      <c r="I19" s="1" t="s">
        <v>20</v>
      </c>
      <c r="J19" s="17">
        <v>46204</v>
      </c>
      <c r="K19" s="3">
        <v>46234</v>
      </c>
      <c r="L19" s="3" t="s">
        <v>21</v>
      </c>
      <c r="M19" s="30"/>
      <c r="N19" s="30"/>
    </row>
    <row r="20" spans="1:14">
      <c r="A20" s="1">
        <v>5140</v>
      </c>
      <c r="B20" s="1">
        <v>7243</v>
      </c>
      <c r="C20" s="94" t="s">
        <v>175</v>
      </c>
      <c r="D20" s="1" t="s">
        <v>31</v>
      </c>
      <c r="E20" s="95">
        <v>1619.99</v>
      </c>
      <c r="F20" s="49">
        <v>1376.9914999999999</v>
      </c>
      <c r="G20" s="96">
        <v>-242.99850000000015</v>
      </c>
      <c r="H20" s="1" t="s">
        <v>14</v>
      </c>
      <c r="I20" s="1" t="s">
        <v>20</v>
      </c>
      <c r="J20" s="17">
        <v>46204</v>
      </c>
      <c r="K20" s="3">
        <v>46234</v>
      </c>
      <c r="L20" s="3" t="s">
        <v>21</v>
      </c>
      <c r="M20" s="30"/>
      <c r="N20" s="30"/>
    </row>
    <row r="21" spans="1:14">
      <c r="A21" s="1">
        <v>5849</v>
      </c>
      <c r="B21" s="1">
        <v>7242</v>
      </c>
      <c r="C21" s="94" t="s">
        <v>176</v>
      </c>
      <c r="D21" s="1" t="s">
        <v>32</v>
      </c>
      <c r="E21" s="95">
        <v>1619.99</v>
      </c>
      <c r="F21" s="49">
        <v>1376.9914999999999</v>
      </c>
      <c r="G21" s="96">
        <v>-242.99850000000015</v>
      </c>
      <c r="H21" s="1" t="s">
        <v>14</v>
      </c>
      <c r="I21" s="1" t="s">
        <v>20</v>
      </c>
      <c r="J21" s="17">
        <v>46204</v>
      </c>
      <c r="K21" s="3">
        <v>46234</v>
      </c>
      <c r="L21" s="3" t="s">
        <v>21</v>
      </c>
      <c r="M21" s="30"/>
      <c r="N21" s="30"/>
    </row>
    <row r="22" spans="1:14">
      <c r="A22" s="1">
        <v>5853</v>
      </c>
      <c r="B22" s="1">
        <v>7238</v>
      </c>
      <c r="C22" s="94" t="s">
        <v>177</v>
      </c>
      <c r="D22" s="1" t="s">
        <v>33</v>
      </c>
      <c r="E22" s="95">
        <v>1619.99</v>
      </c>
      <c r="F22" s="49">
        <v>1376.9914999999999</v>
      </c>
      <c r="G22" s="96">
        <v>-242.99850000000015</v>
      </c>
      <c r="H22" s="1" t="s">
        <v>14</v>
      </c>
      <c r="I22" s="1" t="s">
        <v>20</v>
      </c>
      <c r="J22" s="17">
        <v>46204</v>
      </c>
      <c r="K22" s="3">
        <v>46234</v>
      </c>
      <c r="L22" s="3" t="s">
        <v>21</v>
      </c>
      <c r="M22" s="30"/>
      <c r="N22" s="30"/>
    </row>
    <row r="23" spans="1:14">
      <c r="A23" s="1">
        <v>7656</v>
      </c>
      <c r="B23" s="1">
        <v>7239</v>
      </c>
      <c r="C23" s="94" t="s">
        <v>178</v>
      </c>
      <c r="D23" s="1" t="s">
        <v>34</v>
      </c>
      <c r="E23" s="95">
        <v>1619.99</v>
      </c>
      <c r="F23" s="49">
        <v>1376.9914999999999</v>
      </c>
      <c r="G23" s="96">
        <v>-242.99850000000015</v>
      </c>
      <c r="H23" s="1" t="s">
        <v>14</v>
      </c>
      <c r="I23" s="1" t="s">
        <v>20</v>
      </c>
      <c r="J23" s="17">
        <v>46204</v>
      </c>
      <c r="K23" s="3">
        <v>46234</v>
      </c>
      <c r="L23" s="3" t="s">
        <v>21</v>
      </c>
      <c r="M23" s="30"/>
      <c r="N23" s="30"/>
    </row>
    <row r="24" spans="1:14">
      <c r="A24" s="1">
        <v>14838</v>
      </c>
      <c r="B24" s="1">
        <v>7240</v>
      </c>
      <c r="C24" s="94" t="s">
        <v>179</v>
      </c>
      <c r="D24" s="1" t="s">
        <v>35</v>
      </c>
      <c r="E24" s="95">
        <v>1619.99</v>
      </c>
      <c r="F24" s="49">
        <v>1376.9914999999999</v>
      </c>
      <c r="G24" s="96">
        <v>-242.99850000000015</v>
      </c>
      <c r="H24" s="1" t="s">
        <v>14</v>
      </c>
      <c r="I24" s="1" t="s">
        <v>20</v>
      </c>
      <c r="J24" s="17">
        <v>46204</v>
      </c>
      <c r="K24" s="3">
        <v>46234</v>
      </c>
      <c r="L24" s="3" t="s">
        <v>21</v>
      </c>
      <c r="M24" s="30"/>
      <c r="N24" s="30"/>
    </row>
    <row r="25" spans="1:14">
      <c r="A25" s="1">
        <v>20403</v>
      </c>
      <c r="B25" s="1">
        <v>7024234</v>
      </c>
      <c r="C25" s="94" t="s">
        <v>180</v>
      </c>
      <c r="D25" s="1" t="s">
        <v>49</v>
      </c>
      <c r="E25" s="95">
        <v>1399.99</v>
      </c>
      <c r="F25" s="49">
        <v>1049.9925000000001</v>
      </c>
      <c r="G25" s="96">
        <v>-349.99749999999995</v>
      </c>
      <c r="H25" s="1" t="s">
        <v>14</v>
      </c>
      <c r="I25" s="1" t="s">
        <v>18</v>
      </c>
      <c r="J25" s="17">
        <v>46204</v>
      </c>
      <c r="K25" s="3">
        <v>46234</v>
      </c>
      <c r="L25" s="3" t="s">
        <v>59</v>
      </c>
      <c r="M25" s="30"/>
      <c r="N25" s="30"/>
    </row>
    <row r="26" spans="1:14">
      <c r="A26" s="1">
        <v>20407</v>
      </c>
      <c r="B26" s="1">
        <v>7024120</v>
      </c>
      <c r="C26" s="94" t="s">
        <v>181</v>
      </c>
      <c r="D26" s="1" t="s">
        <v>50</v>
      </c>
      <c r="E26" s="95">
        <v>1999.99</v>
      </c>
      <c r="F26" s="49">
        <v>1499.9925000000001</v>
      </c>
      <c r="G26" s="96">
        <v>-499.99749999999995</v>
      </c>
      <c r="H26" s="1" t="s">
        <v>14</v>
      </c>
      <c r="I26" s="1" t="s">
        <v>18</v>
      </c>
      <c r="J26" s="17">
        <v>46204</v>
      </c>
      <c r="K26" s="3">
        <v>46234</v>
      </c>
      <c r="L26" s="3" t="s">
        <v>59</v>
      </c>
      <c r="M26" s="30"/>
      <c r="N26" s="30"/>
    </row>
    <row r="27" spans="1:14">
      <c r="A27" s="1">
        <v>662037</v>
      </c>
      <c r="B27" s="1">
        <v>7022960</v>
      </c>
      <c r="C27" s="94" t="s">
        <v>182</v>
      </c>
      <c r="D27" s="1" t="s">
        <v>51</v>
      </c>
      <c r="E27" s="95">
        <v>2199.9899999999998</v>
      </c>
      <c r="F27" s="49">
        <v>1649.9924999999998</v>
      </c>
      <c r="G27" s="96">
        <v>-549.99749999999995</v>
      </c>
      <c r="H27" s="1" t="s">
        <v>14</v>
      </c>
      <c r="I27" s="1" t="s">
        <v>18</v>
      </c>
      <c r="J27" s="17">
        <v>46204</v>
      </c>
      <c r="K27" s="3">
        <v>46234</v>
      </c>
      <c r="L27" s="3" t="s">
        <v>59</v>
      </c>
      <c r="M27" s="30"/>
      <c r="N27" s="30"/>
    </row>
    <row r="28" spans="1:14">
      <c r="A28" s="1">
        <v>20406</v>
      </c>
      <c r="B28" s="1">
        <v>7024237</v>
      </c>
      <c r="C28" s="94" t="s">
        <v>183</v>
      </c>
      <c r="D28" s="1" t="s">
        <v>52</v>
      </c>
      <c r="E28" s="95">
        <v>1999.99</v>
      </c>
      <c r="F28" s="49">
        <v>1499.9925000000001</v>
      </c>
      <c r="G28" s="96">
        <v>-499.99749999999995</v>
      </c>
      <c r="H28" s="1" t="s">
        <v>14</v>
      </c>
      <c r="I28" s="1" t="s">
        <v>18</v>
      </c>
      <c r="J28" s="17">
        <v>46204</v>
      </c>
      <c r="K28" s="3">
        <v>46234</v>
      </c>
      <c r="L28" s="3" t="s">
        <v>59</v>
      </c>
      <c r="M28" s="30"/>
      <c r="N28" s="30"/>
    </row>
    <row r="29" spans="1:14">
      <c r="A29" s="1">
        <v>20404</v>
      </c>
      <c r="B29" s="1">
        <v>7022955</v>
      </c>
      <c r="C29" s="94" t="s">
        <v>184</v>
      </c>
      <c r="D29" s="1" t="s">
        <v>53</v>
      </c>
      <c r="E29" s="95">
        <v>1799.99</v>
      </c>
      <c r="F29" s="49">
        <v>1349.9925000000001</v>
      </c>
      <c r="G29" s="96">
        <v>-449.99749999999995</v>
      </c>
      <c r="H29" s="1" t="s">
        <v>14</v>
      </c>
      <c r="I29" s="1" t="s">
        <v>18</v>
      </c>
      <c r="J29" s="17">
        <v>46204</v>
      </c>
      <c r="K29" s="3">
        <v>46234</v>
      </c>
      <c r="L29" s="3" t="s">
        <v>59</v>
      </c>
      <c r="M29" s="30"/>
      <c r="N29" s="30"/>
    </row>
    <row r="30" spans="1:14">
      <c r="A30" s="1">
        <v>20402</v>
      </c>
      <c r="B30" s="1">
        <v>7022953</v>
      </c>
      <c r="C30" s="94" t="s">
        <v>185</v>
      </c>
      <c r="D30" s="1" t="s">
        <v>54</v>
      </c>
      <c r="E30" s="95">
        <v>1399.99</v>
      </c>
      <c r="F30" s="49">
        <v>1049.9925000000001</v>
      </c>
      <c r="G30" s="96">
        <v>-349.99749999999995</v>
      </c>
      <c r="H30" s="1" t="s">
        <v>14</v>
      </c>
      <c r="I30" s="1" t="s">
        <v>18</v>
      </c>
      <c r="J30" s="17">
        <v>46204</v>
      </c>
      <c r="K30" s="3">
        <v>46234</v>
      </c>
      <c r="L30" s="3" t="s">
        <v>59</v>
      </c>
      <c r="M30" s="30"/>
      <c r="N30" s="30"/>
    </row>
    <row r="31" spans="1:14">
      <c r="A31" s="1">
        <v>20400</v>
      </c>
      <c r="B31" s="1">
        <v>7024224</v>
      </c>
      <c r="C31" s="94" t="s">
        <v>186</v>
      </c>
      <c r="D31" s="1" t="s">
        <v>55</v>
      </c>
      <c r="E31" s="95">
        <v>1199.99</v>
      </c>
      <c r="F31" s="49">
        <v>899.99250000000006</v>
      </c>
      <c r="G31" s="96">
        <v>-299.99749999999995</v>
      </c>
      <c r="H31" s="1" t="s">
        <v>14</v>
      </c>
      <c r="I31" s="1" t="s">
        <v>18</v>
      </c>
      <c r="J31" s="17">
        <v>46204</v>
      </c>
      <c r="K31" s="3">
        <v>46234</v>
      </c>
      <c r="L31" s="3" t="s">
        <v>59</v>
      </c>
      <c r="M31" s="30"/>
      <c r="N31" s="30"/>
    </row>
    <row r="32" spans="1:14">
      <c r="A32" s="1">
        <v>20401</v>
      </c>
      <c r="B32" s="1">
        <v>7024230</v>
      </c>
      <c r="C32" s="94" t="s">
        <v>187</v>
      </c>
      <c r="D32" s="1" t="s">
        <v>56</v>
      </c>
      <c r="E32" s="95">
        <v>1199.99</v>
      </c>
      <c r="F32" s="49">
        <v>899.99250000000006</v>
      </c>
      <c r="G32" s="96">
        <v>-299.99749999999995</v>
      </c>
      <c r="H32" s="1" t="s">
        <v>14</v>
      </c>
      <c r="I32" s="1" t="s">
        <v>18</v>
      </c>
      <c r="J32" s="17">
        <v>46204</v>
      </c>
      <c r="K32" s="3">
        <v>46234</v>
      </c>
      <c r="L32" s="3" t="s">
        <v>59</v>
      </c>
      <c r="M32" s="30"/>
      <c r="N32" s="30"/>
    </row>
    <row r="33" spans="1:14">
      <c r="A33" s="1">
        <v>662036</v>
      </c>
      <c r="B33" s="1">
        <v>7025832</v>
      </c>
      <c r="C33" s="94" t="s">
        <v>188</v>
      </c>
      <c r="D33" s="1" t="s">
        <v>57</v>
      </c>
      <c r="E33" s="95">
        <v>2199.9899999999998</v>
      </c>
      <c r="F33" s="49">
        <v>1649.9924999999998</v>
      </c>
      <c r="G33" s="96">
        <v>-549.99749999999995</v>
      </c>
      <c r="H33" s="1" t="s">
        <v>14</v>
      </c>
      <c r="I33" s="1" t="s">
        <v>18</v>
      </c>
      <c r="J33" s="17">
        <v>46204</v>
      </c>
      <c r="K33" s="3">
        <v>46234</v>
      </c>
      <c r="L33" s="3" t="s">
        <v>59</v>
      </c>
      <c r="M33" s="30"/>
      <c r="N33" s="30"/>
    </row>
    <row r="34" spans="1:14">
      <c r="A34" s="1">
        <v>667327</v>
      </c>
      <c r="B34" s="1">
        <v>15021</v>
      </c>
      <c r="C34" s="94" t="s">
        <v>189</v>
      </c>
      <c r="D34" s="1" t="s">
        <v>190</v>
      </c>
      <c r="E34" s="95">
        <v>6279</v>
      </c>
      <c r="F34" s="49">
        <v>5651.1</v>
      </c>
      <c r="G34" s="96">
        <v>-627.89999999999964</v>
      </c>
      <c r="H34" s="1" t="s">
        <v>17</v>
      </c>
      <c r="I34" s="1" t="s">
        <v>22</v>
      </c>
      <c r="J34" s="17">
        <v>46204</v>
      </c>
      <c r="K34" s="3">
        <v>46234</v>
      </c>
      <c r="L34" s="3" t="s">
        <v>58</v>
      </c>
      <c r="M34" s="30"/>
      <c r="N34" s="30"/>
    </row>
    <row r="35" spans="1:14">
      <c r="A35" s="1">
        <v>667326</v>
      </c>
      <c r="B35" s="1">
        <v>15022</v>
      </c>
      <c r="C35" s="94" t="s">
        <v>191</v>
      </c>
      <c r="D35" s="1" t="s">
        <v>192</v>
      </c>
      <c r="E35" s="95">
        <v>5749</v>
      </c>
      <c r="F35" s="49">
        <v>5174.1000000000004</v>
      </c>
      <c r="G35" s="96">
        <v>-574.89999999999964</v>
      </c>
      <c r="H35" s="1" t="s">
        <v>17</v>
      </c>
      <c r="I35" s="1" t="s">
        <v>22</v>
      </c>
      <c r="J35" s="17">
        <v>46204</v>
      </c>
      <c r="K35" s="3">
        <v>46234</v>
      </c>
      <c r="L35" s="3" t="s">
        <v>58</v>
      </c>
      <c r="M35" s="30"/>
      <c r="N35" s="30"/>
    </row>
    <row r="36" spans="1:14">
      <c r="A36" s="1">
        <v>667328</v>
      </c>
      <c r="B36" s="1">
        <v>15177</v>
      </c>
      <c r="C36" s="94" t="s">
        <v>193</v>
      </c>
      <c r="D36" s="1" t="s">
        <v>194</v>
      </c>
      <c r="E36" s="95">
        <v>6929</v>
      </c>
      <c r="F36" s="49">
        <v>6236.1</v>
      </c>
      <c r="G36" s="96">
        <v>-692.89999999999964</v>
      </c>
      <c r="H36" s="1" t="s">
        <v>17</v>
      </c>
      <c r="I36" s="1" t="s">
        <v>22</v>
      </c>
      <c r="J36" s="17">
        <v>46204</v>
      </c>
      <c r="K36" s="3">
        <v>46234</v>
      </c>
      <c r="L36" s="3" t="s">
        <v>58</v>
      </c>
      <c r="M36" s="30"/>
      <c r="N36" s="30"/>
    </row>
    <row r="37" spans="1:14">
      <c r="A37" s="1">
        <v>667329</v>
      </c>
      <c r="B37" s="1">
        <v>15383</v>
      </c>
      <c r="C37" s="94" t="s">
        <v>195</v>
      </c>
      <c r="D37" s="1" t="s">
        <v>196</v>
      </c>
      <c r="E37" s="95">
        <v>5749</v>
      </c>
      <c r="F37" s="49">
        <v>5174.1000000000004</v>
      </c>
      <c r="G37" s="96">
        <v>-574.89999999999964</v>
      </c>
      <c r="H37" s="1" t="s">
        <v>17</v>
      </c>
      <c r="I37" s="1" t="s">
        <v>22</v>
      </c>
      <c r="J37" s="17">
        <v>46204</v>
      </c>
      <c r="K37" s="3">
        <v>46234</v>
      </c>
      <c r="L37" s="3" t="s">
        <v>58</v>
      </c>
      <c r="M37" s="30"/>
      <c r="N37" s="30"/>
    </row>
    <row r="38" spans="1:14">
      <c r="A38" s="1">
        <v>667330</v>
      </c>
      <c r="B38" s="1">
        <v>15532</v>
      </c>
      <c r="C38" s="94" t="s">
        <v>197</v>
      </c>
      <c r="D38" s="1" t="s">
        <v>198</v>
      </c>
      <c r="E38" s="95">
        <v>11410</v>
      </c>
      <c r="F38" s="49">
        <v>10269</v>
      </c>
      <c r="G38" s="96">
        <v>-1141</v>
      </c>
      <c r="H38" s="1" t="s">
        <v>17</v>
      </c>
      <c r="I38" s="1" t="s">
        <v>22</v>
      </c>
      <c r="J38" s="17">
        <v>46204</v>
      </c>
      <c r="K38" s="3">
        <v>46234</v>
      </c>
      <c r="L38" s="3" t="s">
        <v>58</v>
      </c>
      <c r="M38" s="30"/>
      <c r="N38" s="30"/>
    </row>
    <row r="39" spans="1:14">
      <c r="A39" s="1">
        <v>667332</v>
      </c>
      <c r="B39" s="1">
        <v>15528</v>
      </c>
      <c r="C39" s="94">
        <v>7790580139162</v>
      </c>
      <c r="D39" s="1" t="s">
        <v>199</v>
      </c>
      <c r="E39" s="95">
        <v>13565</v>
      </c>
      <c r="F39" s="49">
        <v>12208.5</v>
      </c>
      <c r="G39" s="96">
        <v>-1356.5</v>
      </c>
      <c r="H39" s="1" t="s">
        <v>17</v>
      </c>
      <c r="I39" s="1" t="s">
        <v>22</v>
      </c>
      <c r="J39" s="17">
        <v>46204</v>
      </c>
      <c r="K39" s="3">
        <v>46234</v>
      </c>
      <c r="L39" s="3" t="s">
        <v>58</v>
      </c>
      <c r="M39" s="30"/>
      <c r="N39" s="30"/>
    </row>
    <row r="40" spans="1:14">
      <c r="A40" s="1">
        <v>667325</v>
      </c>
      <c r="B40" s="1">
        <v>15489</v>
      </c>
      <c r="C40" s="94" t="s">
        <v>200</v>
      </c>
      <c r="D40" s="1" t="s">
        <v>201</v>
      </c>
      <c r="E40" s="95">
        <v>2135</v>
      </c>
      <c r="F40" s="49">
        <v>1921.5</v>
      </c>
      <c r="G40" s="96">
        <v>-213.5</v>
      </c>
      <c r="H40" s="1" t="s">
        <v>17</v>
      </c>
      <c r="I40" s="1" t="s">
        <v>22</v>
      </c>
      <c r="J40" s="17">
        <v>46204</v>
      </c>
      <c r="K40" s="3">
        <v>46234</v>
      </c>
      <c r="L40" s="3" t="s">
        <v>58</v>
      </c>
      <c r="M40" s="30"/>
      <c r="N40" s="30"/>
    </row>
    <row r="41" spans="1:14">
      <c r="A41" s="1">
        <v>667339</v>
      </c>
      <c r="B41" s="1">
        <v>15530</v>
      </c>
      <c r="C41" s="94" t="s">
        <v>202</v>
      </c>
      <c r="D41" s="1" t="s">
        <v>203</v>
      </c>
      <c r="E41" s="95">
        <v>3699</v>
      </c>
      <c r="F41" s="49">
        <v>3329.1</v>
      </c>
      <c r="G41" s="96">
        <v>-369.90000000000009</v>
      </c>
      <c r="H41" s="1" t="s">
        <v>17</v>
      </c>
      <c r="I41" s="1" t="s">
        <v>22</v>
      </c>
      <c r="J41" s="17">
        <v>46204</v>
      </c>
      <c r="K41" s="3">
        <v>46234</v>
      </c>
      <c r="L41" s="3" t="s">
        <v>58</v>
      </c>
      <c r="M41" s="30"/>
      <c r="N41" s="30"/>
    </row>
    <row r="42" spans="1:14">
      <c r="A42" s="1">
        <v>667336</v>
      </c>
      <c r="B42" s="1">
        <v>15392</v>
      </c>
      <c r="C42" s="94" t="s">
        <v>204</v>
      </c>
      <c r="D42" s="1" t="s">
        <v>205</v>
      </c>
      <c r="E42" s="95">
        <v>8989</v>
      </c>
      <c r="F42" s="49">
        <v>7640.65</v>
      </c>
      <c r="G42" s="96">
        <v>-1348.3500000000004</v>
      </c>
      <c r="H42" s="1" t="s">
        <v>17</v>
      </c>
      <c r="I42" s="1" t="s">
        <v>69</v>
      </c>
      <c r="J42" s="17">
        <v>46204</v>
      </c>
      <c r="K42" s="3">
        <v>46234</v>
      </c>
      <c r="L42" s="3" t="s">
        <v>58</v>
      </c>
      <c r="M42" s="30"/>
      <c r="N42" s="30"/>
    </row>
    <row r="43" spans="1:14">
      <c r="A43" s="1">
        <v>667337</v>
      </c>
      <c r="B43" s="1">
        <v>15393</v>
      </c>
      <c r="C43" s="94" t="s">
        <v>206</v>
      </c>
      <c r="D43" s="1" t="s">
        <v>207</v>
      </c>
      <c r="E43" s="95">
        <v>2149.9899999999998</v>
      </c>
      <c r="F43" s="49">
        <v>1827.4914999999999</v>
      </c>
      <c r="G43" s="96">
        <v>-322.49849999999992</v>
      </c>
      <c r="H43" s="1" t="s">
        <v>17</v>
      </c>
      <c r="I43" s="1" t="s">
        <v>69</v>
      </c>
      <c r="J43" s="17">
        <v>46204</v>
      </c>
      <c r="K43" s="3">
        <v>46234</v>
      </c>
      <c r="L43" s="3" t="s">
        <v>58</v>
      </c>
      <c r="M43" s="30"/>
      <c r="N43" s="30"/>
    </row>
    <row r="44" spans="1:14">
      <c r="A44" s="1">
        <v>667324</v>
      </c>
      <c r="B44" s="1">
        <v>13757</v>
      </c>
      <c r="C44" s="94" t="s">
        <v>208</v>
      </c>
      <c r="D44" s="1" t="s">
        <v>209</v>
      </c>
      <c r="E44" s="95">
        <v>1940</v>
      </c>
      <c r="F44" s="49">
        <v>1649</v>
      </c>
      <c r="G44" s="96">
        <v>-291</v>
      </c>
      <c r="H44" s="1" t="s">
        <v>17</v>
      </c>
      <c r="I44" s="1" t="s">
        <v>69</v>
      </c>
      <c r="J44" s="17">
        <v>46204</v>
      </c>
      <c r="K44" s="3">
        <v>46234</v>
      </c>
      <c r="L44" s="3" t="s">
        <v>58</v>
      </c>
      <c r="M44" s="30"/>
      <c r="N44" s="30"/>
    </row>
    <row r="45" spans="1:14">
      <c r="A45" s="1">
        <v>20426</v>
      </c>
      <c r="B45" s="1">
        <v>11777</v>
      </c>
      <c r="C45" s="94" t="s">
        <v>210</v>
      </c>
      <c r="D45" s="1" t="s">
        <v>211</v>
      </c>
      <c r="E45" s="95">
        <v>12099.99</v>
      </c>
      <c r="F45" s="49">
        <v>10284.9915</v>
      </c>
      <c r="G45" s="96">
        <v>-1814.9984999999997</v>
      </c>
      <c r="H45" s="1" t="s">
        <v>17</v>
      </c>
      <c r="I45" s="1" t="s">
        <v>69</v>
      </c>
      <c r="J45" s="17">
        <v>46204</v>
      </c>
      <c r="K45" s="3">
        <v>46234</v>
      </c>
      <c r="L45" s="3" t="s">
        <v>58</v>
      </c>
      <c r="M45" s="30"/>
      <c r="N45" s="30"/>
    </row>
    <row r="46" spans="1:14">
      <c r="A46" s="1">
        <v>20427</v>
      </c>
      <c r="B46" s="1">
        <v>11905</v>
      </c>
      <c r="C46" s="94" t="s">
        <v>212</v>
      </c>
      <c r="D46" s="1" t="s">
        <v>118</v>
      </c>
      <c r="E46" s="95">
        <v>679.99</v>
      </c>
      <c r="F46" s="49">
        <v>577.99149999999997</v>
      </c>
      <c r="G46" s="96">
        <v>-101.99850000000004</v>
      </c>
      <c r="H46" s="1" t="s">
        <v>17</v>
      </c>
      <c r="I46" s="1" t="s">
        <v>69</v>
      </c>
      <c r="J46" s="17">
        <v>46204</v>
      </c>
      <c r="K46" s="3">
        <v>46234</v>
      </c>
      <c r="L46" s="3" t="s">
        <v>58</v>
      </c>
      <c r="M46" s="30"/>
      <c r="N46" s="30"/>
    </row>
    <row r="47" spans="1:14">
      <c r="A47" s="1">
        <v>20428</v>
      </c>
      <c r="B47" s="1">
        <v>11906</v>
      </c>
      <c r="C47" s="94" t="s">
        <v>213</v>
      </c>
      <c r="D47" s="1" t="s">
        <v>214</v>
      </c>
      <c r="E47" s="95">
        <v>12099.99</v>
      </c>
      <c r="F47" s="49">
        <v>10284.9915</v>
      </c>
      <c r="G47" s="96">
        <v>-1814.9984999999997</v>
      </c>
      <c r="H47" s="1" t="s">
        <v>17</v>
      </c>
      <c r="I47" s="1" t="s">
        <v>69</v>
      </c>
      <c r="J47" s="17">
        <v>46204</v>
      </c>
      <c r="K47" s="3">
        <v>46234</v>
      </c>
      <c r="L47" s="3" t="s">
        <v>58</v>
      </c>
      <c r="M47" s="30"/>
      <c r="N47" s="30"/>
    </row>
    <row r="48" spans="1:14">
      <c r="A48" s="1">
        <v>659343</v>
      </c>
      <c r="B48" s="1">
        <v>11912</v>
      </c>
      <c r="C48" s="94" t="s">
        <v>215</v>
      </c>
      <c r="D48" s="1" t="s">
        <v>216</v>
      </c>
      <c r="E48" s="95">
        <v>13099.99</v>
      </c>
      <c r="F48" s="49">
        <v>11134.9915</v>
      </c>
      <c r="G48" s="96">
        <v>-1964.9984999999997</v>
      </c>
      <c r="H48" s="1" t="s">
        <v>17</v>
      </c>
      <c r="I48" s="1" t="s">
        <v>69</v>
      </c>
      <c r="J48" s="17">
        <v>46204</v>
      </c>
      <c r="K48" s="3">
        <v>46234</v>
      </c>
      <c r="L48" s="3" t="s">
        <v>58</v>
      </c>
      <c r="M48" s="30"/>
      <c r="N48" s="30"/>
    </row>
    <row r="49" spans="1:14">
      <c r="A49" s="1">
        <v>20429</v>
      </c>
      <c r="B49" s="1">
        <v>11913</v>
      </c>
      <c r="C49" s="94" t="s">
        <v>217</v>
      </c>
      <c r="D49" s="1" t="s">
        <v>119</v>
      </c>
      <c r="E49" s="95">
        <v>679.99</v>
      </c>
      <c r="F49" s="49">
        <v>577.99149999999997</v>
      </c>
      <c r="G49" s="96">
        <v>-101.99850000000004</v>
      </c>
      <c r="H49" s="1" t="s">
        <v>17</v>
      </c>
      <c r="I49" s="1" t="s">
        <v>69</v>
      </c>
      <c r="J49" s="17">
        <v>46204</v>
      </c>
      <c r="K49" s="3">
        <v>46234</v>
      </c>
      <c r="L49" s="3" t="s">
        <v>58</v>
      </c>
      <c r="M49" s="30"/>
      <c r="N49" s="30"/>
    </row>
    <row r="50" spans="1:14">
      <c r="A50" s="1">
        <v>20431</v>
      </c>
      <c r="B50" s="1">
        <v>11915</v>
      </c>
      <c r="C50" s="94" t="s">
        <v>218</v>
      </c>
      <c r="D50" s="1" t="s">
        <v>219</v>
      </c>
      <c r="E50" s="95">
        <v>12099.99</v>
      </c>
      <c r="F50" s="49">
        <v>10284.9915</v>
      </c>
      <c r="G50" s="96">
        <v>-1814.9984999999997</v>
      </c>
      <c r="H50" s="1" t="s">
        <v>17</v>
      </c>
      <c r="I50" s="1" t="s">
        <v>69</v>
      </c>
      <c r="J50" s="17">
        <v>46204</v>
      </c>
      <c r="K50" s="3">
        <v>46234</v>
      </c>
      <c r="L50" s="3" t="s">
        <v>58</v>
      </c>
      <c r="M50" s="30"/>
      <c r="N50" s="30"/>
    </row>
    <row r="51" spans="1:14">
      <c r="A51" s="1">
        <v>662958</v>
      </c>
      <c r="B51" s="1">
        <v>11916</v>
      </c>
      <c r="C51" s="94" t="s">
        <v>220</v>
      </c>
      <c r="D51" s="1" t="s">
        <v>221</v>
      </c>
      <c r="E51" s="95">
        <v>4699.99</v>
      </c>
      <c r="F51" s="49">
        <v>3994.9914999999996</v>
      </c>
      <c r="G51" s="96">
        <v>-704.99850000000015</v>
      </c>
      <c r="H51" s="1" t="s">
        <v>17</v>
      </c>
      <c r="I51" s="1" t="s">
        <v>69</v>
      </c>
      <c r="J51" s="17">
        <v>46204</v>
      </c>
      <c r="K51" s="3">
        <v>46234</v>
      </c>
      <c r="L51" s="3" t="s">
        <v>58</v>
      </c>
      <c r="M51" s="30"/>
      <c r="N51" s="30"/>
    </row>
    <row r="52" spans="1:14">
      <c r="A52" s="1">
        <v>20432</v>
      </c>
      <c r="B52" s="1">
        <v>11921</v>
      </c>
      <c r="C52" s="94" t="s">
        <v>222</v>
      </c>
      <c r="D52" s="1" t="s">
        <v>223</v>
      </c>
      <c r="E52" s="95">
        <v>12099.99</v>
      </c>
      <c r="F52" s="49">
        <v>10284.9915</v>
      </c>
      <c r="G52" s="96">
        <v>-1814.9984999999997</v>
      </c>
      <c r="H52" s="1" t="s">
        <v>17</v>
      </c>
      <c r="I52" s="1" t="s">
        <v>69</v>
      </c>
      <c r="J52" s="17">
        <v>46204</v>
      </c>
      <c r="K52" s="3">
        <v>46234</v>
      </c>
      <c r="L52" s="3" t="s">
        <v>58</v>
      </c>
      <c r="M52" s="30"/>
      <c r="N52" s="30"/>
    </row>
    <row r="53" spans="1:14">
      <c r="A53" s="1">
        <v>663699</v>
      </c>
      <c r="B53" s="1">
        <v>13709</v>
      </c>
      <c r="C53" s="94" t="s">
        <v>224</v>
      </c>
      <c r="D53" s="1" t="s">
        <v>117</v>
      </c>
      <c r="E53" s="95">
        <v>2299.9899999999998</v>
      </c>
      <c r="F53" s="49">
        <v>1954.9914999999999</v>
      </c>
      <c r="G53" s="96">
        <v>-344.99849999999992</v>
      </c>
      <c r="H53" s="1" t="s">
        <v>17</v>
      </c>
      <c r="I53" s="1" t="s">
        <v>69</v>
      </c>
      <c r="J53" s="17">
        <v>46204</v>
      </c>
      <c r="K53" s="3">
        <v>46234</v>
      </c>
      <c r="L53" s="3" t="s">
        <v>58</v>
      </c>
      <c r="M53" s="30"/>
      <c r="N53" s="30"/>
    </row>
    <row r="54" spans="1:14">
      <c r="A54" s="1">
        <v>667338</v>
      </c>
      <c r="B54" s="1">
        <v>15413</v>
      </c>
      <c r="C54" s="94" t="s">
        <v>225</v>
      </c>
      <c r="D54" s="1" t="s">
        <v>226</v>
      </c>
      <c r="E54" s="95">
        <v>2299.9899999999998</v>
      </c>
      <c r="F54" s="49">
        <v>1954.9914999999999</v>
      </c>
      <c r="G54" s="96">
        <v>-344.99849999999992</v>
      </c>
      <c r="H54" s="1" t="s">
        <v>17</v>
      </c>
      <c r="I54" s="1" t="s">
        <v>69</v>
      </c>
      <c r="J54" s="17">
        <v>46204</v>
      </c>
      <c r="K54" s="3">
        <v>46234</v>
      </c>
      <c r="L54" s="3" t="s">
        <v>58</v>
      </c>
      <c r="M54" s="30"/>
      <c r="N54" s="30"/>
    </row>
    <row r="55" spans="1:14">
      <c r="A55" s="1">
        <v>3194</v>
      </c>
      <c r="B55" s="1">
        <v>5312</v>
      </c>
      <c r="C55" s="94" t="s">
        <v>227</v>
      </c>
      <c r="D55" s="1" t="s">
        <v>116</v>
      </c>
      <c r="E55" s="95">
        <v>2299.9899999999998</v>
      </c>
      <c r="F55" s="49">
        <v>1885.9917999999998</v>
      </c>
      <c r="G55" s="96">
        <v>-413.9982</v>
      </c>
      <c r="H55" s="1" t="s">
        <v>17</v>
      </c>
      <c r="I55" s="1" t="s">
        <v>140</v>
      </c>
      <c r="J55" s="17">
        <v>46204</v>
      </c>
      <c r="K55" s="3">
        <v>46234</v>
      </c>
      <c r="L55" s="3" t="s">
        <v>58</v>
      </c>
      <c r="M55" s="30"/>
      <c r="N55" s="30"/>
    </row>
    <row r="56" spans="1:14">
      <c r="A56" s="1">
        <v>7621</v>
      </c>
      <c r="B56" s="1">
        <v>4053</v>
      </c>
      <c r="C56" s="94" t="s">
        <v>228</v>
      </c>
      <c r="D56" s="1" t="s">
        <v>143</v>
      </c>
      <c r="E56" s="95">
        <v>1199.99</v>
      </c>
      <c r="F56" s="49">
        <v>1055.9911999999999</v>
      </c>
      <c r="G56" s="96">
        <v>-143.99880000000007</v>
      </c>
      <c r="H56" s="1" t="s">
        <v>17</v>
      </c>
      <c r="I56" s="1" t="s">
        <v>115</v>
      </c>
      <c r="J56" s="17">
        <v>46209</v>
      </c>
      <c r="K56" s="3">
        <v>46234</v>
      </c>
      <c r="L56" s="3" t="s">
        <v>58</v>
      </c>
      <c r="M56" s="30"/>
      <c r="N56" s="30"/>
    </row>
    <row r="57" spans="1:14">
      <c r="A57" s="1">
        <v>7488</v>
      </c>
      <c r="B57" s="1">
        <v>4056</v>
      </c>
      <c r="C57" s="94" t="s">
        <v>229</v>
      </c>
      <c r="D57" s="1" t="s">
        <v>144</v>
      </c>
      <c r="E57" s="95">
        <v>1199.99</v>
      </c>
      <c r="F57" s="49">
        <v>1055.9911999999999</v>
      </c>
      <c r="G57" s="96">
        <v>-143.99880000000007</v>
      </c>
      <c r="H57" s="1" t="s">
        <v>17</v>
      </c>
      <c r="I57" s="1" t="s">
        <v>115</v>
      </c>
      <c r="J57" s="17">
        <v>46209</v>
      </c>
      <c r="K57" s="3">
        <v>46234</v>
      </c>
      <c r="L57" s="3" t="s">
        <v>58</v>
      </c>
      <c r="M57" s="30"/>
      <c r="N57" s="30"/>
    </row>
    <row r="58" spans="1:14">
      <c r="A58" s="1">
        <v>6409</v>
      </c>
      <c r="B58" s="1">
        <v>3312</v>
      </c>
      <c r="C58" s="94" t="s">
        <v>230</v>
      </c>
      <c r="D58" s="1" t="s">
        <v>142</v>
      </c>
      <c r="E58" s="95">
        <v>599.99</v>
      </c>
      <c r="F58" s="49">
        <v>527.99120000000005</v>
      </c>
      <c r="G58" s="96">
        <v>-71.99879999999996</v>
      </c>
      <c r="H58" s="1" t="s">
        <v>17</v>
      </c>
      <c r="I58" s="1" t="s">
        <v>115</v>
      </c>
      <c r="J58" s="17">
        <v>46209</v>
      </c>
      <c r="K58" s="3">
        <v>46234</v>
      </c>
      <c r="L58" s="3" t="s">
        <v>58</v>
      </c>
      <c r="M58" s="30"/>
      <c r="N58" s="30"/>
    </row>
    <row r="59" spans="1:14">
      <c r="A59" s="1">
        <v>6403</v>
      </c>
      <c r="B59" s="1">
        <v>3313</v>
      </c>
      <c r="C59" s="94" t="s">
        <v>231</v>
      </c>
      <c r="D59" s="1" t="s">
        <v>141</v>
      </c>
      <c r="E59" s="95">
        <v>599.99</v>
      </c>
      <c r="F59" s="49">
        <v>527.99120000000005</v>
      </c>
      <c r="G59" s="96">
        <v>-71.99879999999996</v>
      </c>
      <c r="H59" s="1" t="s">
        <v>17</v>
      </c>
      <c r="I59" s="1" t="s">
        <v>115</v>
      </c>
      <c r="J59" s="17">
        <v>46209</v>
      </c>
      <c r="K59" s="3">
        <v>46234</v>
      </c>
      <c r="L59" s="3" t="s">
        <v>58</v>
      </c>
      <c r="M59" s="30"/>
      <c r="N59" s="30"/>
    </row>
    <row r="60" spans="1:14">
      <c r="A60" s="1">
        <v>667342</v>
      </c>
      <c r="B60" s="1">
        <v>15394</v>
      </c>
      <c r="C60" s="94" t="s">
        <v>232</v>
      </c>
      <c r="D60" s="1" t="s">
        <v>233</v>
      </c>
      <c r="E60" s="95">
        <v>1249.99</v>
      </c>
      <c r="F60" s="49">
        <v>1099.9911999999999</v>
      </c>
      <c r="G60" s="96">
        <v>-149.99880000000007</v>
      </c>
      <c r="H60" s="1" t="s">
        <v>17</v>
      </c>
      <c r="I60" s="1" t="s">
        <v>115</v>
      </c>
      <c r="J60" s="17">
        <v>46204</v>
      </c>
      <c r="K60" s="3">
        <v>46234</v>
      </c>
      <c r="L60" s="3" t="s">
        <v>58</v>
      </c>
      <c r="M60" s="30"/>
      <c r="N60" s="30"/>
    </row>
    <row r="61" spans="1:14">
      <c r="A61" s="1">
        <v>667343</v>
      </c>
      <c r="B61" s="1">
        <v>15396</v>
      </c>
      <c r="C61" s="94" t="s">
        <v>234</v>
      </c>
      <c r="D61" s="1" t="s">
        <v>235</v>
      </c>
      <c r="E61" s="95">
        <v>1249.99</v>
      </c>
      <c r="F61" s="49">
        <v>1099.9911999999999</v>
      </c>
      <c r="G61" s="96">
        <v>-149.99880000000007</v>
      </c>
      <c r="H61" s="1" t="s">
        <v>17</v>
      </c>
      <c r="I61" s="1" t="s">
        <v>115</v>
      </c>
      <c r="J61" s="17">
        <v>46204</v>
      </c>
      <c r="K61" s="3">
        <v>46234</v>
      </c>
      <c r="L61" s="3" t="s">
        <v>58</v>
      </c>
      <c r="M61" s="30"/>
      <c r="N61" s="30"/>
    </row>
    <row r="62" spans="1:14">
      <c r="A62" s="1">
        <v>667340</v>
      </c>
      <c r="B62" s="1">
        <v>15398</v>
      </c>
      <c r="C62" s="94" t="s">
        <v>236</v>
      </c>
      <c r="D62" s="1" t="s">
        <v>237</v>
      </c>
      <c r="E62" s="95">
        <v>1249.99</v>
      </c>
      <c r="F62" s="49">
        <v>1099.9911999999999</v>
      </c>
      <c r="G62" s="96">
        <v>-149.99880000000007</v>
      </c>
      <c r="H62" s="1" t="s">
        <v>17</v>
      </c>
      <c r="I62" s="1" t="s">
        <v>115</v>
      </c>
      <c r="J62" s="17">
        <v>46204</v>
      </c>
      <c r="K62" s="3">
        <v>46234</v>
      </c>
      <c r="L62" s="3" t="s">
        <v>58</v>
      </c>
      <c r="M62" s="30"/>
      <c r="N62" s="30"/>
    </row>
    <row r="63" spans="1:14">
      <c r="A63" s="1">
        <v>667341</v>
      </c>
      <c r="B63" s="1">
        <v>15400</v>
      </c>
      <c r="C63" s="94" t="s">
        <v>238</v>
      </c>
      <c r="D63" s="1" t="s">
        <v>239</v>
      </c>
      <c r="E63" s="95">
        <v>1249.99</v>
      </c>
      <c r="F63" s="49">
        <v>1099.9911999999999</v>
      </c>
      <c r="G63" s="96">
        <v>-149.99880000000007</v>
      </c>
      <c r="H63" s="1" t="s">
        <v>17</v>
      </c>
      <c r="I63" s="1" t="s">
        <v>115</v>
      </c>
      <c r="J63" s="17">
        <v>46204</v>
      </c>
      <c r="K63" s="3">
        <v>46234</v>
      </c>
      <c r="L63" s="3" t="s">
        <v>58</v>
      </c>
      <c r="M63" s="30"/>
      <c r="N63" s="30"/>
    </row>
    <row r="64" spans="1:14">
      <c r="A64" s="1">
        <v>667365</v>
      </c>
      <c r="B64" s="1">
        <v>15516</v>
      </c>
      <c r="C64" s="94" t="s">
        <v>240</v>
      </c>
      <c r="D64" s="1" t="s">
        <v>241</v>
      </c>
      <c r="E64" s="95">
        <v>1249.99</v>
      </c>
      <c r="F64" s="49">
        <v>874.99299999999994</v>
      </c>
      <c r="G64" s="96">
        <v>-374.99700000000007</v>
      </c>
      <c r="H64" s="1" t="s">
        <v>14</v>
      </c>
      <c r="I64" s="1" t="s">
        <v>19</v>
      </c>
      <c r="J64" s="17">
        <v>46204</v>
      </c>
      <c r="K64" s="3">
        <v>46234</v>
      </c>
      <c r="L64" s="3" t="s">
        <v>58</v>
      </c>
      <c r="M64" s="30"/>
      <c r="N64" s="30"/>
    </row>
    <row r="65" spans="1:14">
      <c r="A65" s="1">
        <v>664411</v>
      </c>
      <c r="B65" s="1">
        <v>1731</v>
      </c>
      <c r="C65" s="94" t="s">
        <v>242</v>
      </c>
      <c r="D65" s="1" t="s">
        <v>243</v>
      </c>
      <c r="E65" s="95">
        <v>4050</v>
      </c>
      <c r="F65" s="49">
        <v>3037.5</v>
      </c>
      <c r="G65" s="96">
        <v>-1012.5</v>
      </c>
      <c r="H65" s="1" t="s">
        <v>14</v>
      </c>
      <c r="I65" s="1" t="s">
        <v>18</v>
      </c>
      <c r="J65" s="17">
        <v>46204</v>
      </c>
      <c r="K65" s="3">
        <v>46234</v>
      </c>
      <c r="L65" s="3" t="s">
        <v>58</v>
      </c>
      <c r="M65" s="30"/>
      <c r="N65" s="30"/>
    </row>
    <row r="66" spans="1:14">
      <c r="A66" s="1">
        <v>1402</v>
      </c>
      <c r="B66" s="1">
        <v>171</v>
      </c>
      <c r="C66" s="94" t="s">
        <v>244</v>
      </c>
      <c r="D66" s="1" t="s">
        <v>47</v>
      </c>
      <c r="E66" s="95">
        <v>15199.99</v>
      </c>
      <c r="F66" s="49">
        <v>9879.9935000000005</v>
      </c>
      <c r="G66" s="96">
        <v>-5319.9964999999993</v>
      </c>
      <c r="H66" s="1" t="s">
        <v>14</v>
      </c>
      <c r="I66" s="1" t="s">
        <v>15</v>
      </c>
      <c r="J66" s="17">
        <v>46204</v>
      </c>
      <c r="K66" s="3">
        <v>46234</v>
      </c>
      <c r="L66" s="3" t="s">
        <v>58</v>
      </c>
      <c r="M66" s="30"/>
      <c r="N66" s="30"/>
    </row>
    <row r="67" spans="1:14">
      <c r="A67" s="1">
        <v>2920</v>
      </c>
      <c r="B67" s="1">
        <v>173</v>
      </c>
      <c r="C67" s="94" t="s">
        <v>245</v>
      </c>
      <c r="D67" s="1" t="s">
        <v>132</v>
      </c>
      <c r="E67" s="95">
        <v>1464</v>
      </c>
      <c r="F67" s="49">
        <v>1098</v>
      </c>
      <c r="G67" s="96">
        <v>-366</v>
      </c>
      <c r="H67" s="1" t="s">
        <v>14</v>
      </c>
      <c r="I67" s="1" t="s">
        <v>18</v>
      </c>
      <c r="J67" s="17">
        <v>46204</v>
      </c>
      <c r="K67" s="3">
        <v>46234</v>
      </c>
      <c r="L67" s="3" t="s">
        <v>58</v>
      </c>
      <c r="M67" s="30"/>
      <c r="N67" s="30"/>
    </row>
    <row r="68" spans="1:14">
      <c r="A68" s="1">
        <v>18868</v>
      </c>
      <c r="B68" s="1">
        <v>558</v>
      </c>
      <c r="C68" s="94" t="s">
        <v>246</v>
      </c>
      <c r="D68" s="1" t="s">
        <v>133</v>
      </c>
      <c r="E68" s="95">
        <v>1464</v>
      </c>
      <c r="F68" s="49">
        <v>1098</v>
      </c>
      <c r="G68" s="96">
        <v>-366</v>
      </c>
      <c r="H68" s="1" t="s">
        <v>14</v>
      </c>
      <c r="I68" s="1" t="s">
        <v>18</v>
      </c>
      <c r="J68" s="17">
        <v>46204</v>
      </c>
      <c r="K68" s="3">
        <v>46234</v>
      </c>
      <c r="L68" s="3" t="s">
        <v>58</v>
      </c>
      <c r="M68" s="30"/>
      <c r="N68" s="30"/>
    </row>
    <row r="69" spans="1:14">
      <c r="A69" s="1">
        <v>666202</v>
      </c>
      <c r="B69" s="1">
        <v>962</v>
      </c>
      <c r="C69" s="94" t="s">
        <v>247</v>
      </c>
      <c r="D69" s="1" t="s">
        <v>134</v>
      </c>
      <c r="E69" s="95">
        <v>1464</v>
      </c>
      <c r="F69" s="49">
        <v>1098</v>
      </c>
      <c r="G69" s="96">
        <v>-366</v>
      </c>
      <c r="H69" s="1" t="s">
        <v>14</v>
      </c>
      <c r="I69" s="1" t="s">
        <v>18</v>
      </c>
      <c r="J69" s="17">
        <v>46204</v>
      </c>
      <c r="K69" s="3">
        <v>46234</v>
      </c>
      <c r="L69" s="3" t="s">
        <v>58</v>
      </c>
      <c r="M69" s="30"/>
      <c r="N69" s="30"/>
    </row>
    <row r="70" spans="1:14">
      <c r="A70" s="1">
        <v>1522</v>
      </c>
      <c r="B70" s="1">
        <v>1548</v>
      </c>
      <c r="C70" s="94" t="s">
        <v>248</v>
      </c>
      <c r="D70" s="1" t="s">
        <v>135</v>
      </c>
      <c r="E70" s="95">
        <v>1464</v>
      </c>
      <c r="F70" s="49">
        <v>1098</v>
      </c>
      <c r="G70" s="96">
        <v>-366</v>
      </c>
      <c r="H70" s="1" t="s">
        <v>14</v>
      </c>
      <c r="I70" s="1" t="s">
        <v>18</v>
      </c>
      <c r="J70" s="17">
        <v>46204</v>
      </c>
      <c r="K70" s="3">
        <v>46234</v>
      </c>
      <c r="L70" s="3" t="s">
        <v>58</v>
      </c>
      <c r="M70" s="30"/>
      <c r="N70" s="30"/>
    </row>
    <row r="71" spans="1:14">
      <c r="A71" s="18">
        <v>659648</v>
      </c>
      <c r="B71" s="19">
        <v>2105</v>
      </c>
      <c r="C71" s="97" t="s">
        <v>249</v>
      </c>
      <c r="D71" s="14" t="s">
        <v>136</v>
      </c>
      <c r="E71" s="15">
        <v>1464</v>
      </c>
      <c r="F71" s="15">
        <v>1098</v>
      </c>
      <c r="G71" s="98">
        <v>-366</v>
      </c>
      <c r="H71" s="1" t="s">
        <v>14</v>
      </c>
      <c r="I71" s="1" t="s">
        <v>18</v>
      </c>
      <c r="J71" s="17">
        <v>46204</v>
      </c>
      <c r="K71" s="17">
        <v>46234</v>
      </c>
      <c r="L71" s="1" t="s">
        <v>58</v>
      </c>
      <c r="M71" s="30"/>
      <c r="N71" s="30"/>
    </row>
    <row r="72" spans="1:14">
      <c r="A72" s="14">
        <v>1344</v>
      </c>
      <c r="B72" s="14">
        <v>164</v>
      </c>
      <c r="C72" s="18" t="s">
        <v>250</v>
      </c>
      <c r="D72" s="14" t="s">
        <v>131</v>
      </c>
      <c r="E72" s="15">
        <v>3906</v>
      </c>
      <c r="F72" s="16">
        <v>3515.4</v>
      </c>
      <c r="G72" s="96">
        <v>-390.59999999999991</v>
      </c>
      <c r="H72" s="1" t="s">
        <v>17</v>
      </c>
      <c r="I72" s="1" t="s">
        <v>22</v>
      </c>
      <c r="J72" s="17">
        <v>46204</v>
      </c>
      <c r="K72" s="3">
        <v>46234</v>
      </c>
      <c r="L72" s="3" t="s">
        <v>58</v>
      </c>
      <c r="M72" s="30"/>
      <c r="N72" s="30"/>
    </row>
    <row r="73" spans="1:14">
      <c r="A73" s="14">
        <v>664182</v>
      </c>
      <c r="B73" s="14">
        <v>1445</v>
      </c>
      <c r="C73" s="18" t="s">
        <v>251</v>
      </c>
      <c r="D73" s="14" t="s">
        <v>137</v>
      </c>
      <c r="E73" s="15">
        <v>1966</v>
      </c>
      <c r="F73" s="16">
        <v>1769.4</v>
      </c>
      <c r="G73" s="96">
        <v>-196.59999999999991</v>
      </c>
      <c r="H73" s="1" t="s">
        <v>17</v>
      </c>
      <c r="I73" s="1" t="s">
        <v>22</v>
      </c>
      <c r="J73" s="17">
        <v>46204</v>
      </c>
      <c r="K73" s="3">
        <v>46234</v>
      </c>
      <c r="L73" s="3" t="s">
        <v>58</v>
      </c>
      <c r="M73" s="30"/>
      <c r="N73" s="30"/>
    </row>
    <row r="74" spans="1:14">
      <c r="A74" s="14">
        <v>664847</v>
      </c>
      <c r="B74" s="14">
        <v>1529</v>
      </c>
      <c r="C74" s="18" t="s">
        <v>252</v>
      </c>
      <c r="D74" s="14" t="s">
        <v>48</v>
      </c>
      <c r="E74" s="15">
        <v>1015</v>
      </c>
      <c r="F74" s="16">
        <v>913.5</v>
      </c>
      <c r="G74" s="96">
        <v>-101.5</v>
      </c>
      <c r="H74" s="1" t="s">
        <v>17</v>
      </c>
      <c r="I74" s="1" t="s">
        <v>22</v>
      </c>
      <c r="J74" s="17">
        <v>46204</v>
      </c>
      <c r="K74" s="3">
        <v>46234</v>
      </c>
      <c r="L74" s="3" t="s">
        <v>58</v>
      </c>
      <c r="M74" s="30"/>
      <c r="N74" s="30"/>
    </row>
    <row r="75" spans="1:14">
      <c r="A75" s="78">
        <v>6527</v>
      </c>
      <c r="B75" s="87">
        <v>10</v>
      </c>
      <c r="C75" s="99">
        <v>7798089020066</v>
      </c>
      <c r="D75" s="87" t="s">
        <v>254</v>
      </c>
      <c r="E75" s="100">
        <v>1127.71</v>
      </c>
      <c r="F75" s="70">
        <v>1014.9390000000001</v>
      </c>
      <c r="G75" s="70">
        <v>-112.77099999999996</v>
      </c>
      <c r="H75" s="78" t="s">
        <v>17</v>
      </c>
      <c r="I75" s="78" t="s">
        <v>22</v>
      </c>
      <c r="J75" s="79">
        <v>46220</v>
      </c>
      <c r="K75" s="80">
        <v>46234</v>
      </c>
      <c r="L75" s="3" t="s">
        <v>62</v>
      </c>
      <c r="M75" s="30"/>
      <c r="N75" s="30"/>
    </row>
    <row r="76" spans="1:14">
      <c r="A76" s="78">
        <v>11252</v>
      </c>
      <c r="B76" s="87">
        <v>198</v>
      </c>
      <c r="C76" s="99">
        <v>7798079932140</v>
      </c>
      <c r="D76" s="87" t="s">
        <v>255</v>
      </c>
      <c r="E76" s="100">
        <v>977.59699999999998</v>
      </c>
      <c r="F76" s="70">
        <v>879.83730000000003</v>
      </c>
      <c r="G76" s="70">
        <v>-97.759699999999953</v>
      </c>
      <c r="H76" s="78" t="s">
        <v>17</v>
      </c>
      <c r="I76" s="78" t="s">
        <v>22</v>
      </c>
      <c r="J76" s="79">
        <v>46220</v>
      </c>
      <c r="K76" s="80">
        <v>46234</v>
      </c>
      <c r="L76" s="3" t="s">
        <v>62</v>
      </c>
      <c r="M76" s="30"/>
      <c r="N76" s="30"/>
    </row>
    <row r="77" spans="1:14">
      <c r="A77" s="78">
        <v>102015</v>
      </c>
      <c r="B77" s="87">
        <v>193</v>
      </c>
      <c r="C77" s="99">
        <v>7798079932102</v>
      </c>
      <c r="D77" s="87" t="s">
        <v>256</v>
      </c>
      <c r="E77" s="100">
        <v>2091.96</v>
      </c>
      <c r="F77" s="70">
        <v>1882.7640000000001</v>
      </c>
      <c r="G77" s="70">
        <v>-209.19599999999991</v>
      </c>
      <c r="H77" s="78" t="s">
        <v>17</v>
      </c>
      <c r="I77" s="78" t="s">
        <v>22</v>
      </c>
      <c r="J77" s="79">
        <v>46220</v>
      </c>
      <c r="K77" s="80">
        <v>46234</v>
      </c>
      <c r="L77" s="3" t="s">
        <v>62</v>
      </c>
      <c r="M77" s="30"/>
      <c r="N77" s="30"/>
    </row>
    <row r="78" spans="1:14">
      <c r="A78" s="78">
        <v>102018</v>
      </c>
      <c r="B78" s="87">
        <v>195</v>
      </c>
      <c r="C78" s="99">
        <v>7798079932119</v>
      </c>
      <c r="D78" s="87" t="s">
        <v>257</v>
      </c>
      <c r="E78" s="100">
        <v>1785.34</v>
      </c>
      <c r="F78" s="70">
        <v>1606.806</v>
      </c>
      <c r="G78" s="70">
        <v>-178.53399999999988</v>
      </c>
      <c r="H78" s="78" t="s">
        <v>17</v>
      </c>
      <c r="I78" s="78" t="s">
        <v>22</v>
      </c>
      <c r="J78" s="79">
        <v>46220</v>
      </c>
      <c r="K78" s="80">
        <v>46234</v>
      </c>
      <c r="L78" s="3" t="s">
        <v>62</v>
      </c>
      <c r="M78" s="30"/>
      <c r="N78" s="30"/>
    </row>
    <row r="79" spans="1:14">
      <c r="A79" s="78">
        <v>8120</v>
      </c>
      <c r="B79" s="87">
        <v>11</v>
      </c>
      <c r="C79" s="99">
        <v>7798089020080</v>
      </c>
      <c r="D79" s="87" t="s">
        <v>258</v>
      </c>
      <c r="E79" s="100">
        <v>1002.399</v>
      </c>
      <c r="F79" s="70">
        <v>902.15909999999997</v>
      </c>
      <c r="G79" s="70">
        <v>-100.23990000000003</v>
      </c>
      <c r="H79" s="78" t="s">
        <v>17</v>
      </c>
      <c r="I79" s="78" t="s">
        <v>22</v>
      </c>
      <c r="J79" s="79">
        <v>46220</v>
      </c>
      <c r="K79" s="80">
        <v>46234</v>
      </c>
      <c r="L79" s="3" t="s">
        <v>62</v>
      </c>
      <c r="M79" s="30"/>
      <c r="N79" s="30"/>
    </row>
    <row r="80" spans="1:14">
      <c r="A80" s="14">
        <v>659011</v>
      </c>
      <c r="B80" s="14">
        <v>12604</v>
      </c>
      <c r="C80" s="18">
        <v>7790580126049</v>
      </c>
      <c r="D80" s="14" t="s">
        <v>121</v>
      </c>
      <c r="E80" s="15">
        <v>6678</v>
      </c>
      <c r="F80" s="16">
        <v>6010.2</v>
      </c>
      <c r="G80" s="96">
        <v>-667.80000000000018</v>
      </c>
      <c r="H80" s="1" t="s">
        <v>17</v>
      </c>
      <c r="I80" s="1" t="s">
        <v>22</v>
      </c>
      <c r="J80" s="17">
        <v>46204</v>
      </c>
      <c r="K80" s="3">
        <v>46234</v>
      </c>
      <c r="L80" s="3" t="s">
        <v>62</v>
      </c>
      <c r="M80" s="30"/>
      <c r="N80" s="30"/>
    </row>
    <row r="81" spans="1:14">
      <c r="A81" s="14">
        <v>659012</v>
      </c>
      <c r="B81" s="14">
        <v>12605</v>
      </c>
      <c r="C81" s="18">
        <v>7790580126056</v>
      </c>
      <c r="D81" s="14" t="s">
        <v>122</v>
      </c>
      <c r="E81" s="15">
        <v>6678</v>
      </c>
      <c r="F81" s="16">
        <v>6010.2</v>
      </c>
      <c r="G81" s="96">
        <v>-667.80000000000018</v>
      </c>
      <c r="H81" s="1" t="s">
        <v>17</v>
      </c>
      <c r="I81" s="1" t="s">
        <v>22</v>
      </c>
      <c r="J81" s="17">
        <v>46204</v>
      </c>
      <c r="K81" s="3">
        <v>46234</v>
      </c>
      <c r="L81" s="3" t="s">
        <v>62</v>
      </c>
      <c r="M81" s="30"/>
      <c r="N81" s="30"/>
    </row>
    <row r="82" spans="1:14">
      <c r="A82" s="14">
        <v>659014</v>
      </c>
      <c r="B82" s="14">
        <v>12607</v>
      </c>
      <c r="C82" s="18">
        <v>7790580126070</v>
      </c>
      <c r="D82" s="14" t="s">
        <v>123</v>
      </c>
      <c r="E82" s="15">
        <v>5940</v>
      </c>
      <c r="F82" s="16">
        <v>5346</v>
      </c>
      <c r="G82" s="96">
        <v>-594</v>
      </c>
      <c r="H82" s="1" t="s">
        <v>17</v>
      </c>
      <c r="I82" s="1" t="s">
        <v>22</v>
      </c>
      <c r="J82" s="17">
        <v>46204</v>
      </c>
      <c r="K82" s="3">
        <v>46234</v>
      </c>
      <c r="L82" s="3" t="s">
        <v>62</v>
      </c>
      <c r="M82" s="30"/>
      <c r="N82" s="30"/>
    </row>
    <row r="83" spans="1:14">
      <c r="A83" s="14">
        <v>659015</v>
      </c>
      <c r="B83" s="14">
        <v>12608</v>
      </c>
      <c r="C83" s="18">
        <v>7790580126087</v>
      </c>
      <c r="D83" s="14" t="s">
        <v>124</v>
      </c>
      <c r="E83" s="15">
        <v>5940</v>
      </c>
      <c r="F83" s="16">
        <v>5346</v>
      </c>
      <c r="G83" s="96">
        <v>-594</v>
      </c>
      <c r="H83" s="1" t="s">
        <v>17</v>
      </c>
      <c r="I83" s="1" t="s">
        <v>22</v>
      </c>
      <c r="J83" s="17">
        <v>46204</v>
      </c>
      <c r="K83" s="3">
        <v>46234</v>
      </c>
      <c r="L83" s="3" t="s">
        <v>62</v>
      </c>
      <c r="M83" s="30"/>
      <c r="N83" s="30"/>
    </row>
    <row r="84" spans="1:14">
      <c r="A84" s="14">
        <v>664902</v>
      </c>
      <c r="B84" s="14">
        <v>13796</v>
      </c>
      <c r="C84" s="18">
        <v>7790580137960</v>
      </c>
      <c r="D84" s="14" t="s">
        <v>125</v>
      </c>
      <c r="E84" s="15">
        <v>6270</v>
      </c>
      <c r="F84" s="16">
        <v>5643</v>
      </c>
      <c r="G84" s="96">
        <v>-627</v>
      </c>
      <c r="H84" s="1" t="s">
        <v>17</v>
      </c>
      <c r="I84" s="1" t="s">
        <v>22</v>
      </c>
      <c r="J84" s="17">
        <v>46204</v>
      </c>
      <c r="K84" s="3">
        <v>46234</v>
      </c>
      <c r="L84" s="3" t="s">
        <v>62</v>
      </c>
      <c r="M84" s="30"/>
      <c r="N84" s="30"/>
    </row>
    <row r="85" spans="1:14">
      <c r="A85" s="14">
        <v>8552</v>
      </c>
      <c r="B85" s="14">
        <v>5044</v>
      </c>
      <c r="C85" s="18">
        <v>7790580504410</v>
      </c>
      <c r="D85" s="14" t="s">
        <v>259</v>
      </c>
      <c r="E85" s="15">
        <v>2628.41</v>
      </c>
      <c r="F85" s="16">
        <v>2365.569</v>
      </c>
      <c r="G85" s="96">
        <v>-262.84099999999989</v>
      </c>
      <c r="H85" s="1" t="s">
        <v>17</v>
      </c>
      <c r="I85" s="1" t="s">
        <v>22</v>
      </c>
      <c r="J85" s="17">
        <v>46204</v>
      </c>
      <c r="K85" s="3">
        <v>46234</v>
      </c>
      <c r="L85" s="3" t="s">
        <v>62</v>
      </c>
      <c r="M85" s="30"/>
      <c r="N85" s="30"/>
    </row>
    <row r="86" spans="1:14">
      <c r="A86" s="14">
        <v>8555</v>
      </c>
      <c r="B86" s="14">
        <v>5046</v>
      </c>
      <c r="C86" s="18">
        <v>7790580504601</v>
      </c>
      <c r="D86" s="14" t="s">
        <v>260</v>
      </c>
      <c r="E86" s="15">
        <v>3061.41</v>
      </c>
      <c r="F86" s="16">
        <v>2755.2689999999998</v>
      </c>
      <c r="G86" s="96">
        <v>-306.14100000000008</v>
      </c>
      <c r="H86" s="1" t="s">
        <v>17</v>
      </c>
      <c r="I86" s="1" t="s">
        <v>22</v>
      </c>
      <c r="J86" s="17">
        <v>46204</v>
      </c>
      <c r="K86" s="3">
        <v>46234</v>
      </c>
      <c r="L86" s="3" t="s">
        <v>62</v>
      </c>
      <c r="M86" s="30"/>
      <c r="N86" s="30"/>
    </row>
    <row r="87" spans="1:14">
      <c r="A87" s="14">
        <v>8551</v>
      </c>
      <c r="B87" s="14">
        <v>5048</v>
      </c>
      <c r="C87" s="18">
        <v>7790580504809</v>
      </c>
      <c r="D87" s="14" t="s">
        <v>261</v>
      </c>
      <c r="E87" s="15">
        <v>2628.41</v>
      </c>
      <c r="F87" s="16">
        <v>2365.569</v>
      </c>
      <c r="G87" s="96">
        <v>-262.84099999999989</v>
      </c>
      <c r="H87" s="1" t="s">
        <v>17</v>
      </c>
      <c r="I87" s="1" t="s">
        <v>22</v>
      </c>
      <c r="J87" s="17">
        <v>46204</v>
      </c>
      <c r="K87" s="3">
        <v>46234</v>
      </c>
      <c r="L87" s="3" t="s">
        <v>62</v>
      </c>
      <c r="M87" s="30"/>
      <c r="N87" s="30"/>
    </row>
    <row r="88" spans="1:14">
      <c r="A88" s="14">
        <v>1415</v>
      </c>
      <c r="B88" s="14">
        <v>16</v>
      </c>
      <c r="C88" s="18">
        <v>7791866001203</v>
      </c>
      <c r="D88" s="14" t="s">
        <v>127</v>
      </c>
      <c r="E88" s="15">
        <v>1677.4390000000001</v>
      </c>
      <c r="F88" s="16">
        <v>1425.8231499999999</v>
      </c>
      <c r="G88" s="96">
        <v>-251.61585000000014</v>
      </c>
      <c r="H88" s="1" t="s">
        <v>17</v>
      </c>
      <c r="I88" s="1" t="s">
        <v>69</v>
      </c>
      <c r="J88" s="17">
        <v>46204</v>
      </c>
      <c r="K88" s="3">
        <v>46234</v>
      </c>
      <c r="L88" s="3" t="s">
        <v>62</v>
      </c>
      <c r="M88" s="30"/>
      <c r="N88" s="30"/>
    </row>
    <row r="89" spans="1:14">
      <c r="A89" s="14">
        <v>667318</v>
      </c>
      <c r="B89" s="14">
        <v>3251</v>
      </c>
      <c r="C89" s="18">
        <v>7791866004471</v>
      </c>
      <c r="D89" s="14" t="s">
        <v>262</v>
      </c>
      <c r="E89" s="15">
        <v>2263.4969999999998</v>
      </c>
      <c r="F89" s="16">
        <v>1923.9724499999998</v>
      </c>
      <c r="G89" s="96">
        <v>-339.52455000000009</v>
      </c>
      <c r="H89" s="1" t="s">
        <v>17</v>
      </c>
      <c r="I89" s="1" t="s">
        <v>69</v>
      </c>
      <c r="J89" s="17">
        <v>46204</v>
      </c>
      <c r="K89" s="3">
        <v>46234</v>
      </c>
      <c r="L89" s="3" t="s">
        <v>62</v>
      </c>
      <c r="M89" s="30"/>
      <c r="N89" s="30"/>
    </row>
    <row r="90" spans="1:14">
      <c r="A90" s="14">
        <v>661363</v>
      </c>
      <c r="B90" s="14">
        <v>12632</v>
      </c>
      <c r="C90" s="18">
        <v>7790580126322</v>
      </c>
      <c r="D90" s="14" t="s">
        <v>65</v>
      </c>
      <c r="E90" s="15">
        <v>1670</v>
      </c>
      <c r="F90" s="16">
        <v>1419.5</v>
      </c>
      <c r="G90" s="96">
        <v>-250.5</v>
      </c>
      <c r="H90" s="1" t="s">
        <v>17</v>
      </c>
      <c r="I90" s="1" t="s">
        <v>69</v>
      </c>
      <c r="J90" s="17">
        <v>46204</v>
      </c>
      <c r="K90" s="3">
        <v>46234</v>
      </c>
      <c r="L90" s="3" t="s">
        <v>62</v>
      </c>
      <c r="M90" s="30"/>
      <c r="N90" s="30"/>
    </row>
    <row r="91" spans="1:14">
      <c r="A91" s="14">
        <v>661362</v>
      </c>
      <c r="B91" s="14">
        <v>12631</v>
      </c>
      <c r="C91" s="18">
        <v>7790580126315</v>
      </c>
      <c r="D91" s="14" t="s">
        <v>64</v>
      </c>
      <c r="E91" s="15">
        <v>1670</v>
      </c>
      <c r="F91" s="16">
        <v>1419.5</v>
      </c>
      <c r="G91" s="96">
        <v>-250.5</v>
      </c>
      <c r="H91" s="1" t="s">
        <v>17</v>
      </c>
      <c r="I91" s="1" t="s">
        <v>69</v>
      </c>
      <c r="J91" s="17">
        <v>46204</v>
      </c>
      <c r="K91" s="3">
        <v>46234</v>
      </c>
      <c r="L91" s="3" t="s">
        <v>62</v>
      </c>
      <c r="M91" s="30"/>
      <c r="N91" s="30"/>
    </row>
    <row r="92" spans="1:14">
      <c r="A92" s="14">
        <v>667213</v>
      </c>
      <c r="B92" s="14">
        <v>15502</v>
      </c>
      <c r="C92" s="18">
        <v>7790580155025</v>
      </c>
      <c r="D92" s="14" t="s">
        <v>67</v>
      </c>
      <c r="E92" s="15">
        <v>1670</v>
      </c>
      <c r="F92" s="16">
        <v>1419.5</v>
      </c>
      <c r="G92" s="96">
        <v>-250.5</v>
      </c>
      <c r="H92" s="1" t="s">
        <v>17</v>
      </c>
      <c r="I92" s="1" t="s">
        <v>69</v>
      </c>
      <c r="J92" s="17">
        <v>46204</v>
      </c>
      <c r="K92" s="3">
        <v>46234</v>
      </c>
      <c r="L92" s="3" t="s">
        <v>62</v>
      </c>
      <c r="M92" s="30"/>
      <c r="N92" s="30"/>
    </row>
    <row r="93" spans="1:14">
      <c r="A93" s="14">
        <v>667212</v>
      </c>
      <c r="B93" s="14">
        <v>15500</v>
      </c>
      <c r="C93" s="18">
        <v>7790580137762</v>
      </c>
      <c r="D93" s="14" t="s">
        <v>66</v>
      </c>
      <c r="E93" s="15">
        <v>1670</v>
      </c>
      <c r="F93" s="16">
        <v>1419.5</v>
      </c>
      <c r="G93" s="96">
        <v>-250.5</v>
      </c>
      <c r="H93" s="1" t="s">
        <v>17</v>
      </c>
      <c r="I93" s="1" t="s">
        <v>69</v>
      </c>
      <c r="J93" s="17">
        <v>46204</v>
      </c>
      <c r="K93" s="3">
        <v>46234</v>
      </c>
      <c r="L93" s="3" t="s">
        <v>62</v>
      </c>
      <c r="M93" s="30"/>
      <c r="N93" s="30"/>
    </row>
    <row r="94" spans="1:14">
      <c r="A94" s="14">
        <v>5585</v>
      </c>
      <c r="B94" s="14">
        <v>13872</v>
      </c>
      <c r="C94" s="18">
        <v>7790580538002</v>
      </c>
      <c r="D94" s="14" t="s">
        <v>63</v>
      </c>
      <c r="E94" s="15">
        <v>2580</v>
      </c>
      <c r="F94" s="16">
        <v>2193</v>
      </c>
      <c r="G94" s="96">
        <v>-387</v>
      </c>
      <c r="H94" s="1" t="s">
        <v>17</v>
      </c>
      <c r="I94" s="1" t="s">
        <v>69</v>
      </c>
      <c r="J94" s="17">
        <v>46204</v>
      </c>
      <c r="K94" s="3">
        <v>46234</v>
      </c>
      <c r="L94" s="3" t="s">
        <v>62</v>
      </c>
      <c r="M94" s="30"/>
      <c r="N94" s="30"/>
    </row>
    <row r="95" spans="1:14">
      <c r="A95" s="14">
        <v>5662</v>
      </c>
      <c r="B95" s="14">
        <v>14611</v>
      </c>
      <c r="C95" s="18">
        <v>7790580221904</v>
      </c>
      <c r="D95" s="14" t="s">
        <v>72</v>
      </c>
      <c r="E95" s="15">
        <v>1285</v>
      </c>
      <c r="F95" s="16">
        <v>1092.25</v>
      </c>
      <c r="G95" s="96">
        <v>-192.75</v>
      </c>
      <c r="H95" s="1" t="s">
        <v>17</v>
      </c>
      <c r="I95" s="1" t="s">
        <v>69</v>
      </c>
      <c r="J95" s="17">
        <v>46204</v>
      </c>
      <c r="K95" s="3">
        <v>46234</v>
      </c>
      <c r="L95" s="3" t="s">
        <v>62</v>
      </c>
      <c r="M95" s="30"/>
      <c r="N95" s="30"/>
    </row>
    <row r="96" spans="1:14">
      <c r="A96" s="14">
        <v>19825</v>
      </c>
      <c r="B96" s="14">
        <v>13315</v>
      </c>
      <c r="C96" s="18">
        <v>7790580956707</v>
      </c>
      <c r="D96" s="14" t="s">
        <v>263</v>
      </c>
      <c r="E96" s="15">
        <v>1418.162</v>
      </c>
      <c r="F96" s="16">
        <v>1205.4376999999999</v>
      </c>
      <c r="G96" s="96">
        <v>-212.72430000000008</v>
      </c>
      <c r="H96" s="1" t="s">
        <v>17</v>
      </c>
      <c r="I96" s="1" t="s">
        <v>69</v>
      </c>
      <c r="J96" s="17">
        <v>46204</v>
      </c>
      <c r="K96" s="3">
        <v>46234</v>
      </c>
      <c r="L96" s="3" t="s">
        <v>62</v>
      </c>
      <c r="M96" s="30"/>
      <c r="N96" s="30"/>
    </row>
    <row r="97" spans="1:14">
      <c r="A97" s="14">
        <v>664867</v>
      </c>
      <c r="B97" s="14">
        <v>13886</v>
      </c>
      <c r="C97" s="18">
        <v>7790580138868</v>
      </c>
      <c r="D97" s="14" t="s">
        <v>264</v>
      </c>
      <c r="E97" s="15">
        <v>1428.0409999999999</v>
      </c>
      <c r="F97" s="16">
        <v>1213.83485</v>
      </c>
      <c r="G97" s="96">
        <v>-214.20614999999998</v>
      </c>
      <c r="H97" s="1" t="s">
        <v>17</v>
      </c>
      <c r="I97" s="1" t="s">
        <v>69</v>
      </c>
      <c r="J97" s="17">
        <v>46204</v>
      </c>
      <c r="K97" s="3">
        <v>46234</v>
      </c>
      <c r="L97" s="3" t="s">
        <v>62</v>
      </c>
      <c r="M97" s="30"/>
      <c r="N97" s="30"/>
    </row>
    <row r="98" spans="1:14">
      <c r="A98" s="14">
        <v>3931</v>
      </c>
      <c r="B98" s="14">
        <v>1867</v>
      </c>
      <c r="C98" s="18">
        <v>7792900009223</v>
      </c>
      <c r="D98" s="14" t="s">
        <v>68</v>
      </c>
      <c r="E98" s="15">
        <v>1129.501</v>
      </c>
      <c r="F98" s="16">
        <v>960.07584999999995</v>
      </c>
      <c r="G98" s="96">
        <v>-169.42515000000003</v>
      </c>
      <c r="H98" s="1" t="s">
        <v>17</v>
      </c>
      <c r="I98" s="1" t="s">
        <v>69</v>
      </c>
      <c r="J98" s="17">
        <v>46204</v>
      </c>
      <c r="K98" s="3">
        <v>46234</v>
      </c>
      <c r="L98" s="3" t="s">
        <v>62</v>
      </c>
      <c r="M98" s="30"/>
      <c r="N98" s="30"/>
    </row>
    <row r="99" spans="1:14">
      <c r="A99" s="14">
        <v>661911</v>
      </c>
      <c r="B99" s="14">
        <v>1194</v>
      </c>
      <c r="C99" s="18">
        <v>7792900990552</v>
      </c>
      <c r="D99" s="14" t="s">
        <v>70</v>
      </c>
      <c r="E99" s="15">
        <v>1996.2940000000001</v>
      </c>
      <c r="F99" s="16">
        <v>1696.8498999999999</v>
      </c>
      <c r="G99" s="96">
        <v>-299.44410000000016</v>
      </c>
      <c r="H99" s="1" t="s">
        <v>17</v>
      </c>
      <c r="I99" s="1" t="s">
        <v>69</v>
      </c>
      <c r="J99" s="17">
        <v>46204</v>
      </c>
      <c r="K99" s="3">
        <v>46234</v>
      </c>
      <c r="L99" s="3" t="s">
        <v>62</v>
      </c>
      <c r="M99" s="30"/>
      <c r="N99" s="30"/>
    </row>
    <row r="100" spans="1:14">
      <c r="A100" s="14">
        <v>3790</v>
      </c>
      <c r="B100" s="14">
        <v>1347</v>
      </c>
      <c r="C100" s="18">
        <v>7792900093048</v>
      </c>
      <c r="D100" s="14" t="s">
        <v>71</v>
      </c>
      <c r="E100" s="15">
        <v>1235.105</v>
      </c>
      <c r="F100" s="16">
        <v>1049.83925</v>
      </c>
      <c r="G100" s="96">
        <v>-185.26575000000003</v>
      </c>
      <c r="H100" s="1" t="s">
        <v>17</v>
      </c>
      <c r="I100" s="1" t="s">
        <v>69</v>
      </c>
      <c r="J100" s="17">
        <v>46204</v>
      </c>
      <c r="K100" s="3">
        <v>46234</v>
      </c>
      <c r="L100" s="3" t="s">
        <v>62</v>
      </c>
      <c r="M100" s="30"/>
      <c r="N100" s="30"/>
    </row>
    <row r="101" spans="1:14" s="20" customFormat="1">
      <c r="A101" s="14">
        <v>11028</v>
      </c>
      <c r="B101" s="14">
        <v>156</v>
      </c>
      <c r="C101" s="18">
        <v>7792900093024</v>
      </c>
      <c r="D101" s="14" t="s">
        <v>265</v>
      </c>
      <c r="E101" s="15">
        <v>1326.5820000000001</v>
      </c>
      <c r="F101" s="16">
        <v>1127.5947000000001</v>
      </c>
      <c r="G101" s="96">
        <v>-198.9873</v>
      </c>
      <c r="H101" s="1" t="s">
        <v>17</v>
      </c>
      <c r="I101" s="1" t="s">
        <v>69</v>
      </c>
      <c r="J101" s="17">
        <v>46204</v>
      </c>
      <c r="K101" s="3">
        <v>46234</v>
      </c>
      <c r="L101" s="3" t="s">
        <v>62</v>
      </c>
      <c r="M101" s="31"/>
      <c r="N101" s="31"/>
    </row>
    <row r="102" spans="1:14">
      <c r="A102" s="14">
        <v>12501</v>
      </c>
      <c r="B102" s="14">
        <v>159</v>
      </c>
      <c r="C102" s="18">
        <v>7792900093246</v>
      </c>
      <c r="D102" s="14" t="s">
        <v>266</v>
      </c>
      <c r="E102" s="15">
        <v>1759.001</v>
      </c>
      <c r="F102" s="16">
        <v>1495.15085</v>
      </c>
      <c r="G102" s="96">
        <v>-263.85014999999999</v>
      </c>
      <c r="H102" s="1" t="s">
        <v>17</v>
      </c>
      <c r="I102" s="1" t="s">
        <v>69</v>
      </c>
      <c r="J102" s="17">
        <v>46204</v>
      </c>
      <c r="K102" s="3">
        <v>46234</v>
      </c>
      <c r="L102" s="3" t="s">
        <v>62</v>
      </c>
      <c r="M102" s="30"/>
      <c r="N102" s="30"/>
    </row>
    <row r="103" spans="1:14">
      <c r="A103" s="14">
        <v>11030</v>
      </c>
      <c r="B103" s="14">
        <v>158</v>
      </c>
      <c r="C103" s="18">
        <v>7792900093260</v>
      </c>
      <c r="D103" s="14" t="s">
        <v>267</v>
      </c>
      <c r="E103" s="15">
        <v>3920.3069999999998</v>
      </c>
      <c r="F103" s="16">
        <v>3332.2609499999999</v>
      </c>
      <c r="G103" s="96">
        <v>-588.04604999999992</v>
      </c>
      <c r="H103" s="1" t="s">
        <v>17</v>
      </c>
      <c r="I103" s="1" t="s">
        <v>69</v>
      </c>
      <c r="J103" s="17">
        <v>46204</v>
      </c>
      <c r="K103" s="3">
        <v>46234</v>
      </c>
      <c r="L103" s="3" t="s">
        <v>62</v>
      </c>
      <c r="M103" s="30"/>
      <c r="N103" s="30"/>
    </row>
    <row r="104" spans="1:14">
      <c r="A104" s="14">
        <v>11159</v>
      </c>
      <c r="B104" s="14">
        <v>2091</v>
      </c>
      <c r="C104" s="18">
        <v>7792900093000</v>
      </c>
      <c r="D104" s="14" t="s">
        <v>268</v>
      </c>
      <c r="E104" s="15">
        <v>2500.8989999999999</v>
      </c>
      <c r="F104" s="16">
        <v>2125.76415</v>
      </c>
      <c r="G104" s="96">
        <v>-375.13484999999991</v>
      </c>
      <c r="H104" s="1" t="s">
        <v>17</v>
      </c>
      <c r="I104" s="1" t="s">
        <v>69</v>
      </c>
      <c r="J104" s="17">
        <v>46204</v>
      </c>
      <c r="K104" s="3">
        <v>46234</v>
      </c>
      <c r="L104" s="3" t="s">
        <v>62</v>
      </c>
      <c r="M104" s="30"/>
      <c r="N104" s="30"/>
    </row>
    <row r="105" spans="1:14">
      <c r="A105" s="14">
        <v>1353</v>
      </c>
      <c r="B105" s="14">
        <v>352</v>
      </c>
      <c r="C105" s="18">
        <v>7792900006956</v>
      </c>
      <c r="D105" s="14" t="s">
        <v>269</v>
      </c>
      <c r="E105" s="15">
        <v>1419.174</v>
      </c>
      <c r="F105" s="16">
        <v>1206.2979</v>
      </c>
      <c r="G105" s="96">
        <v>-212.87609999999995</v>
      </c>
      <c r="H105" s="1" t="s">
        <v>17</v>
      </c>
      <c r="I105" s="1" t="s">
        <v>69</v>
      </c>
      <c r="J105" s="17">
        <v>46204</v>
      </c>
      <c r="K105" s="3">
        <v>46234</v>
      </c>
      <c r="L105" s="3" t="s">
        <v>62</v>
      </c>
      <c r="M105" s="30"/>
      <c r="N105" s="30"/>
    </row>
    <row r="106" spans="1:14">
      <c r="A106" s="14">
        <v>14162</v>
      </c>
      <c r="B106" s="14">
        <v>1199</v>
      </c>
      <c r="C106" s="18">
        <v>7792900000312</v>
      </c>
      <c r="D106" s="14" t="s">
        <v>270</v>
      </c>
      <c r="E106" s="15">
        <v>4556.9260000000004</v>
      </c>
      <c r="F106" s="16">
        <v>3873.3871000000004</v>
      </c>
      <c r="G106" s="96">
        <v>-683.53890000000001</v>
      </c>
      <c r="H106" s="1" t="s">
        <v>17</v>
      </c>
      <c r="I106" s="1" t="s">
        <v>69</v>
      </c>
      <c r="J106" s="17">
        <v>46204</v>
      </c>
      <c r="K106" s="3">
        <v>46234</v>
      </c>
      <c r="L106" s="3" t="s">
        <v>62</v>
      </c>
      <c r="M106" s="30"/>
      <c r="N106" s="30"/>
    </row>
    <row r="107" spans="1:14">
      <c r="A107" s="14">
        <v>666331</v>
      </c>
      <c r="B107" s="14">
        <v>1955</v>
      </c>
      <c r="C107" s="18">
        <v>7798146139434</v>
      </c>
      <c r="D107" s="14" t="s">
        <v>271</v>
      </c>
      <c r="E107" s="15">
        <v>4953.22</v>
      </c>
      <c r="F107" s="16">
        <v>4210.2370000000001</v>
      </c>
      <c r="G107" s="96">
        <v>-742.98300000000017</v>
      </c>
      <c r="H107" s="1" t="s">
        <v>17</v>
      </c>
      <c r="I107" s="1" t="s">
        <v>69</v>
      </c>
      <c r="J107" s="17">
        <v>46204</v>
      </c>
      <c r="K107" s="3">
        <v>46234</v>
      </c>
      <c r="L107" s="3" t="s">
        <v>62</v>
      </c>
      <c r="M107" s="30"/>
      <c r="N107" s="30"/>
    </row>
    <row r="108" spans="1:14">
      <c r="A108" s="1">
        <v>19680</v>
      </c>
      <c r="B108" s="1">
        <v>511</v>
      </c>
      <c r="C108" s="94">
        <v>7791866000381</v>
      </c>
      <c r="D108" s="1" t="s">
        <v>73</v>
      </c>
      <c r="E108" s="95">
        <v>2300.7460000000001</v>
      </c>
      <c r="F108" s="49">
        <v>1840.5968000000003</v>
      </c>
      <c r="G108" s="96">
        <v>-460.14919999999984</v>
      </c>
      <c r="H108" s="1" t="s">
        <v>17</v>
      </c>
      <c r="I108" s="1" t="s">
        <v>74</v>
      </c>
      <c r="J108" s="17">
        <v>46204</v>
      </c>
      <c r="K108" s="17">
        <v>46234</v>
      </c>
      <c r="L108" s="3" t="s">
        <v>62</v>
      </c>
      <c r="M108" s="30"/>
      <c r="N108" s="30"/>
    </row>
    <row r="109" spans="1:14">
      <c r="A109" s="1">
        <v>19679</v>
      </c>
      <c r="B109" s="1">
        <v>710</v>
      </c>
      <c r="C109" s="94">
        <v>7791866000435</v>
      </c>
      <c r="D109" s="1" t="s">
        <v>75</v>
      </c>
      <c r="E109" s="95">
        <v>1543.1089999999999</v>
      </c>
      <c r="F109" s="49">
        <v>1234.4872</v>
      </c>
      <c r="G109" s="96">
        <v>-308.62179999999989</v>
      </c>
      <c r="H109" s="1" t="s">
        <v>17</v>
      </c>
      <c r="I109" s="1" t="s">
        <v>74</v>
      </c>
      <c r="J109" s="17">
        <v>46204</v>
      </c>
      <c r="K109" s="17">
        <v>46234</v>
      </c>
      <c r="L109" s="3" t="s">
        <v>62</v>
      </c>
      <c r="M109" s="30"/>
      <c r="N109" s="30"/>
    </row>
    <row r="110" spans="1:14">
      <c r="A110" s="1">
        <v>19681</v>
      </c>
      <c r="B110" s="1">
        <v>512</v>
      </c>
      <c r="C110" s="94">
        <v>7791866000480</v>
      </c>
      <c r="D110" s="1" t="s">
        <v>76</v>
      </c>
      <c r="E110" s="95">
        <v>2422.1010000000001</v>
      </c>
      <c r="F110" s="49">
        <v>1937.6808000000001</v>
      </c>
      <c r="G110" s="96">
        <v>-484.42020000000002</v>
      </c>
      <c r="H110" s="1" t="s">
        <v>17</v>
      </c>
      <c r="I110" s="1" t="s">
        <v>74</v>
      </c>
      <c r="J110" s="17">
        <v>46204</v>
      </c>
      <c r="K110" s="17">
        <v>46234</v>
      </c>
      <c r="L110" s="3" t="s">
        <v>62</v>
      </c>
      <c r="M110" s="30"/>
      <c r="N110" s="30"/>
    </row>
    <row r="111" spans="1:14">
      <c r="A111" s="1">
        <v>665598</v>
      </c>
      <c r="B111" s="1">
        <v>1792</v>
      </c>
      <c r="C111" s="94">
        <v>7790272008387</v>
      </c>
      <c r="D111" s="1" t="s">
        <v>77</v>
      </c>
      <c r="E111" s="95">
        <v>18229.3</v>
      </c>
      <c r="F111" s="49">
        <v>14583.44</v>
      </c>
      <c r="G111" s="96">
        <v>-3645.8599999999988</v>
      </c>
      <c r="H111" s="1" t="s">
        <v>17</v>
      </c>
      <c r="I111" s="1" t="s">
        <v>74</v>
      </c>
      <c r="J111" s="17">
        <v>46204</v>
      </c>
      <c r="K111" s="17">
        <v>46234</v>
      </c>
      <c r="L111" s="3" t="s">
        <v>62</v>
      </c>
      <c r="M111" s="30"/>
      <c r="N111" s="30"/>
    </row>
    <row r="112" spans="1:14">
      <c r="A112" s="1">
        <v>3630</v>
      </c>
      <c r="B112" s="1">
        <v>20</v>
      </c>
      <c r="C112" s="94">
        <v>7790272005508</v>
      </c>
      <c r="D112" s="1" t="s">
        <v>78</v>
      </c>
      <c r="E112" s="95">
        <v>4912.8860000000004</v>
      </c>
      <c r="F112" s="49">
        <v>3930.3088000000007</v>
      </c>
      <c r="G112" s="96">
        <v>-982.57719999999972</v>
      </c>
      <c r="H112" s="1" t="s">
        <v>17</v>
      </c>
      <c r="I112" s="1" t="s">
        <v>74</v>
      </c>
      <c r="J112" s="17">
        <v>46204</v>
      </c>
      <c r="K112" s="17">
        <v>46234</v>
      </c>
      <c r="L112" s="3" t="s">
        <v>62</v>
      </c>
      <c r="M112" s="30"/>
      <c r="N112" s="30"/>
    </row>
    <row r="113" spans="1:14">
      <c r="A113" s="1">
        <v>7485</v>
      </c>
      <c r="B113" s="1">
        <v>225</v>
      </c>
      <c r="C113" s="94">
        <v>7790272000954</v>
      </c>
      <c r="D113" s="1" t="s">
        <v>79</v>
      </c>
      <c r="E113" s="95">
        <v>6424.5690000000004</v>
      </c>
      <c r="F113" s="49">
        <v>5139.6552000000011</v>
      </c>
      <c r="G113" s="96">
        <v>-1284.9137999999994</v>
      </c>
      <c r="H113" s="1" t="s">
        <v>17</v>
      </c>
      <c r="I113" s="1" t="s">
        <v>74</v>
      </c>
      <c r="J113" s="17">
        <v>46204</v>
      </c>
      <c r="K113" s="17">
        <v>46234</v>
      </c>
      <c r="L113" s="3" t="s">
        <v>62</v>
      </c>
      <c r="M113" s="30"/>
      <c r="N113" s="30"/>
    </row>
    <row r="114" spans="1:14">
      <c r="A114" s="1">
        <v>5584</v>
      </c>
      <c r="B114" s="1">
        <v>13873</v>
      </c>
      <c r="C114" s="94">
        <v>7790580660000</v>
      </c>
      <c r="D114" s="1" t="s">
        <v>126</v>
      </c>
      <c r="E114" s="95">
        <v>1812.5</v>
      </c>
      <c r="F114" s="49">
        <v>1450</v>
      </c>
      <c r="G114" s="96">
        <v>-362.5</v>
      </c>
      <c r="H114" s="1" t="s">
        <v>17</v>
      </c>
      <c r="I114" s="1" t="s">
        <v>74</v>
      </c>
      <c r="J114" s="17">
        <v>46204</v>
      </c>
      <c r="K114" s="17">
        <v>46234</v>
      </c>
      <c r="L114" s="3" t="s">
        <v>62</v>
      </c>
      <c r="M114" s="30"/>
      <c r="N114" s="30"/>
    </row>
    <row r="115" spans="1:14">
      <c r="A115" s="1">
        <v>1411</v>
      </c>
      <c r="B115" s="1">
        <v>403</v>
      </c>
      <c r="C115" s="94">
        <v>7791866000558</v>
      </c>
      <c r="D115" s="1" t="s">
        <v>91</v>
      </c>
      <c r="E115" s="95">
        <v>1145.287</v>
      </c>
      <c r="F115" s="49">
        <v>858.96524999999997</v>
      </c>
      <c r="G115" s="96">
        <v>-286.32175000000007</v>
      </c>
      <c r="H115" s="1" t="s">
        <v>17</v>
      </c>
      <c r="I115" s="1" t="s">
        <v>23</v>
      </c>
      <c r="J115" s="17">
        <v>46204</v>
      </c>
      <c r="K115" s="17">
        <v>46234</v>
      </c>
      <c r="L115" s="3" t="s">
        <v>62</v>
      </c>
      <c r="M115" s="30"/>
      <c r="N115" s="30"/>
    </row>
    <row r="116" spans="1:14">
      <c r="A116" s="1">
        <v>7596</v>
      </c>
      <c r="B116" s="1">
        <v>404</v>
      </c>
      <c r="C116" s="94">
        <v>7791866004075</v>
      </c>
      <c r="D116" s="1" t="s">
        <v>92</v>
      </c>
      <c r="E116" s="95">
        <v>2184.0949999999998</v>
      </c>
      <c r="F116" s="49">
        <v>1638.07125</v>
      </c>
      <c r="G116" s="96">
        <v>-546.02374999999984</v>
      </c>
      <c r="H116" s="1" t="s">
        <v>17</v>
      </c>
      <c r="I116" s="1" t="s">
        <v>23</v>
      </c>
      <c r="J116" s="17">
        <v>46204</v>
      </c>
      <c r="K116" s="17">
        <v>46234</v>
      </c>
      <c r="L116" s="3" t="s">
        <v>62</v>
      </c>
      <c r="M116" s="30"/>
      <c r="N116" s="30"/>
    </row>
    <row r="117" spans="1:14">
      <c r="A117" s="1">
        <v>7495</v>
      </c>
      <c r="B117" s="1">
        <v>13</v>
      </c>
      <c r="C117" s="94">
        <v>7791866001197</v>
      </c>
      <c r="D117" s="1" t="s">
        <v>272</v>
      </c>
      <c r="E117" s="95">
        <v>1068.9849999999999</v>
      </c>
      <c r="F117" s="49">
        <v>748.28949999999986</v>
      </c>
      <c r="G117" s="96">
        <v>-320.69550000000004</v>
      </c>
      <c r="H117" s="1" t="s">
        <v>14</v>
      </c>
      <c r="I117" s="1" t="s">
        <v>114</v>
      </c>
      <c r="J117" s="17">
        <v>46204</v>
      </c>
      <c r="K117" s="17">
        <v>46234</v>
      </c>
      <c r="L117" s="3" t="s">
        <v>62</v>
      </c>
      <c r="M117" s="30"/>
      <c r="N117" s="30"/>
    </row>
    <row r="118" spans="1:14">
      <c r="A118" s="1">
        <v>1361</v>
      </c>
      <c r="B118" s="1">
        <v>2</v>
      </c>
      <c r="C118" s="94">
        <v>7790272001029</v>
      </c>
      <c r="D118" s="1" t="s">
        <v>94</v>
      </c>
      <c r="E118" s="95">
        <v>10823.88</v>
      </c>
      <c r="F118" s="49">
        <v>7576.7159999999985</v>
      </c>
      <c r="G118" s="96">
        <v>-3247.1640000000007</v>
      </c>
      <c r="H118" s="1" t="s">
        <v>17</v>
      </c>
      <c r="I118" s="1" t="s">
        <v>93</v>
      </c>
      <c r="J118" s="17">
        <v>46206</v>
      </c>
      <c r="K118" s="17">
        <v>46234</v>
      </c>
      <c r="L118" s="3" t="s">
        <v>62</v>
      </c>
      <c r="M118" s="30"/>
      <c r="N118" s="30"/>
    </row>
    <row r="119" spans="1:14">
      <c r="A119" s="1">
        <v>1363</v>
      </c>
      <c r="B119" s="1">
        <v>3</v>
      </c>
      <c r="C119" s="94">
        <v>7790272001036</v>
      </c>
      <c r="D119" s="1" t="s">
        <v>95</v>
      </c>
      <c r="E119" s="95">
        <v>21215.27</v>
      </c>
      <c r="F119" s="49">
        <v>14850.688999999998</v>
      </c>
      <c r="G119" s="96">
        <v>-6364.5810000000019</v>
      </c>
      <c r="H119" s="1" t="s">
        <v>17</v>
      </c>
      <c r="I119" s="1" t="s">
        <v>93</v>
      </c>
      <c r="J119" s="17">
        <v>46206</v>
      </c>
      <c r="K119" s="17">
        <v>46234</v>
      </c>
      <c r="L119" s="3" t="s">
        <v>62</v>
      </c>
      <c r="M119" s="30"/>
      <c r="N119" s="30"/>
    </row>
    <row r="120" spans="1:14">
      <c r="A120" s="1">
        <v>1442</v>
      </c>
      <c r="B120" s="1">
        <v>1</v>
      </c>
      <c r="C120" s="94">
        <v>7790272001005</v>
      </c>
      <c r="D120" s="1" t="s">
        <v>96</v>
      </c>
      <c r="E120" s="95">
        <v>6954.08</v>
      </c>
      <c r="F120" s="49">
        <v>4867.8559999999998</v>
      </c>
      <c r="G120" s="96">
        <v>-2086.2240000000002</v>
      </c>
      <c r="H120" s="1" t="s">
        <v>17</v>
      </c>
      <c r="I120" s="1" t="s">
        <v>93</v>
      </c>
      <c r="J120" s="17">
        <v>46206</v>
      </c>
      <c r="K120" s="17">
        <v>46234</v>
      </c>
      <c r="L120" s="3" t="s">
        <v>62</v>
      </c>
      <c r="M120" s="30"/>
      <c r="N120" s="30"/>
    </row>
    <row r="121" spans="1:14">
      <c r="A121" s="1">
        <v>5166</v>
      </c>
      <c r="B121" s="1">
        <v>4</v>
      </c>
      <c r="C121" s="94">
        <v>7790272004112</v>
      </c>
      <c r="D121" s="1" t="s">
        <v>273</v>
      </c>
      <c r="E121" s="95">
        <v>35355.360000000001</v>
      </c>
      <c r="F121" s="49">
        <v>24748.752</v>
      </c>
      <c r="G121" s="96">
        <v>-10606.608</v>
      </c>
      <c r="H121" s="1" t="s">
        <v>17</v>
      </c>
      <c r="I121" s="1" t="s">
        <v>93</v>
      </c>
      <c r="J121" s="17">
        <v>46206</v>
      </c>
      <c r="K121" s="17">
        <v>46234</v>
      </c>
      <c r="L121" s="3" t="s">
        <v>62</v>
      </c>
      <c r="M121" s="30"/>
      <c r="N121" s="30"/>
    </row>
    <row r="122" spans="1:14">
      <c r="A122" s="1">
        <v>19307</v>
      </c>
      <c r="B122" s="1">
        <v>43148</v>
      </c>
      <c r="C122" s="94">
        <v>7790070410603</v>
      </c>
      <c r="D122" s="1" t="s">
        <v>278</v>
      </c>
      <c r="E122" s="95">
        <v>1761.413</v>
      </c>
      <c r="F122" s="49">
        <v>1585.2717</v>
      </c>
      <c r="G122" s="96">
        <v>-176.1413</v>
      </c>
      <c r="H122" s="1" t="s">
        <v>17</v>
      </c>
      <c r="I122" s="1" t="s">
        <v>22</v>
      </c>
      <c r="J122" s="17">
        <v>46204</v>
      </c>
      <c r="K122" s="17">
        <v>46215</v>
      </c>
      <c r="L122" s="3" t="s">
        <v>62</v>
      </c>
      <c r="M122" s="30"/>
      <c r="N122" s="30"/>
    </row>
    <row r="123" spans="1:14">
      <c r="A123" s="1">
        <v>19306</v>
      </c>
      <c r="B123" s="1">
        <v>43149</v>
      </c>
      <c r="C123" s="94">
        <v>7790070410610</v>
      </c>
      <c r="D123" s="1" t="s">
        <v>274</v>
      </c>
      <c r="E123" s="95">
        <v>947.86800000000005</v>
      </c>
      <c r="F123" s="49">
        <v>853.08120000000008</v>
      </c>
      <c r="G123" s="96">
        <v>-94.786799999999971</v>
      </c>
      <c r="H123" s="1" t="s">
        <v>17</v>
      </c>
      <c r="I123" s="1" t="s">
        <v>22</v>
      </c>
      <c r="J123" s="17">
        <v>46204</v>
      </c>
      <c r="K123" s="17">
        <v>46215</v>
      </c>
      <c r="L123" s="3" t="s">
        <v>62</v>
      </c>
      <c r="M123" s="30"/>
      <c r="N123" s="30"/>
    </row>
    <row r="124" spans="1:14">
      <c r="A124" s="1">
        <v>8642</v>
      </c>
      <c r="B124" s="1">
        <v>43300</v>
      </c>
      <c r="C124" s="94">
        <v>7790070412386</v>
      </c>
      <c r="D124" s="1" t="s">
        <v>290</v>
      </c>
      <c r="E124" s="95">
        <v>3090.585</v>
      </c>
      <c r="F124" s="95">
        <f t="shared" ref="F124:F125" si="0">+E124*0.9</f>
        <v>2781.5264999999999</v>
      </c>
      <c r="G124" s="96">
        <f t="shared" ref="G124:G125" si="1">+F124-E124</f>
        <v>-309.05850000000009</v>
      </c>
      <c r="H124" s="1" t="s">
        <v>17</v>
      </c>
      <c r="I124" s="1" t="s">
        <v>22</v>
      </c>
      <c r="J124" s="17">
        <v>46210</v>
      </c>
      <c r="K124" s="3">
        <v>46215</v>
      </c>
      <c r="L124" s="3" t="s">
        <v>62</v>
      </c>
      <c r="M124" s="30"/>
      <c r="N124" s="30"/>
    </row>
    <row r="125" spans="1:14">
      <c r="A125" s="1">
        <v>5564</v>
      </c>
      <c r="B125" s="1">
        <v>43299</v>
      </c>
      <c r="C125" s="94">
        <v>7790070412379</v>
      </c>
      <c r="D125" s="1" t="s">
        <v>291</v>
      </c>
      <c r="E125" s="95">
        <v>3090.585</v>
      </c>
      <c r="F125" s="95">
        <f t="shared" si="0"/>
        <v>2781.5264999999999</v>
      </c>
      <c r="G125" s="96">
        <f t="shared" si="1"/>
        <v>-309.05850000000009</v>
      </c>
      <c r="H125" s="1" t="s">
        <v>17</v>
      </c>
      <c r="I125" s="1" t="s">
        <v>22</v>
      </c>
      <c r="J125" s="17">
        <v>46210</v>
      </c>
      <c r="K125" s="3">
        <v>46215</v>
      </c>
      <c r="L125" s="3" t="s">
        <v>62</v>
      </c>
      <c r="M125" s="30"/>
      <c r="N125" s="30"/>
    </row>
    <row r="126" spans="1:14">
      <c r="A126" s="1">
        <v>4050</v>
      </c>
      <c r="B126" s="1">
        <v>43298</v>
      </c>
      <c r="C126" s="94">
        <v>7790070412362</v>
      </c>
      <c r="D126" s="1" t="s">
        <v>289</v>
      </c>
      <c r="E126" s="95">
        <v>3090.585</v>
      </c>
      <c r="F126" s="95">
        <f t="shared" ref="F126" si="2">+E126*0.9</f>
        <v>2781.5264999999999</v>
      </c>
      <c r="G126" s="96">
        <f t="shared" ref="G126" si="3">+F126-E126</f>
        <v>-309.05850000000009</v>
      </c>
      <c r="H126" s="1" t="s">
        <v>17</v>
      </c>
      <c r="I126" s="1" t="s">
        <v>22</v>
      </c>
      <c r="J126" s="17">
        <v>46210</v>
      </c>
      <c r="K126" s="3">
        <v>46215</v>
      </c>
      <c r="L126" s="3" t="s">
        <v>62</v>
      </c>
      <c r="M126" s="30"/>
      <c r="N126" s="30"/>
    </row>
    <row r="127" spans="1:14">
      <c r="A127" s="1">
        <v>101995</v>
      </c>
      <c r="B127" s="1">
        <v>43296</v>
      </c>
      <c r="C127" s="94">
        <v>7790070410139</v>
      </c>
      <c r="D127" s="1" t="s">
        <v>280</v>
      </c>
      <c r="E127" s="95">
        <v>3091.1280000000002</v>
      </c>
      <c r="F127" s="95">
        <f t="shared" ref="F127:F128" si="4">+E127*0.9</f>
        <v>2782.0152000000003</v>
      </c>
      <c r="G127" s="96">
        <f t="shared" ref="G127:G128" si="5">+F127-E127</f>
        <v>-309.11279999999988</v>
      </c>
      <c r="H127" s="1" t="s">
        <v>17</v>
      </c>
      <c r="I127" s="1" t="s">
        <v>22</v>
      </c>
      <c r="J127" s="17">
        <v>46210</v>
      </c>
      <c r="K127" s="17">
        <v>46215</v>
      </c>
      <c r="L127" s="3" t="s">
        <v>62</v>
      </c>
      <c r="M127" s="30"/>
      <c r="N127" s="30"/>
    </row>
    <row r="128" spans="1:14">
      <c r="A128" s="1">
        <v>664318</v>
      </c>
      <c r="B128" s="1">
        <v>33639</v>
      </c>
      <c r="C128" s="94">
        <v>7790070336392</v>
      </c>
      <c r="D128" s="1" t="s">
        <v>285</v>
      </c>
      <c r="E128" s="95">
        <v>1666.5830000000001</v>
      </c>
      <c r="F128" s="95">
        <f t="shared" si="4"/>
        <v>1499.9247</v>
      </c>
      <c r="G128" s="96">
        <f t="shared" si="5"/>
        <v>-166.65830000000005</v>
      </c>
      <c r="H128" s="1" t="s">
        <v>17</v>
      </c>
      <c r="I128" s="1" t="s">
        <v>22</v>
      </c>
      <c r="J128" s="17">
        <v>46210</v>
      </c>
      <c r="K128" s="17">
        <v>46215</v>
      </c>
      <c r="L128" s="3" t="s">
        <v>62</v>
      </c>
      <c r="M128" s="30"/>
      <c r="N128" s="30"/>
    </row>
    <row r="129" spans="1:14">
      <c r="A129" s="1">
        <v>4082</v>
      </c>
      <c r="B129" s="1">
        <v>31834</v>
      </c>
      <c r="C129" s="94">
        <v>7795907000361</v>
      </c>
      <c r="D129" s="1" t="s">
        <v>281</v>
      </c>
      <c r="E129" s="95">
        <v>1667.675</v>
      </c>
      <c r="F129" s="95">
        <f t="shared" ref="F129" si="6">+E129*0.9</f>
        <v>1500.9075</v>
      </c>
      <c r="G129" s="96">
        <f t="shared" ref="G129" si="7">+F129-E129</f>
        <v>-166.76749999999993</v>
      </c>
      <c r="H129" s="1" t="s">
        <v>17</v>
      </c>
      <c r="I129" s="1" t="s">
        <v>22</v>
      </c>
      <c r="J129" s="17">
        <v>46210</v>
      </c>
      <c r="K129" s="17">
        <v>46215</v>
      </c>
      <c r="L129" s="3" t="s">
        <v>62</v>
      </c>
      <c r="M129" s="30"/>
      <c r="N129" s="30"/>
    </row>
    <row r="130" spans="1:14">
      <c r="A130" s="1">
        <v>664315</v>
      </c>
      <c r="B130" s="1">
        <v>33638</v>
      </c>
      <c r="C130" s="94">
        <v>7790070336385</v>
      </c>
      <c r="D130" s="1" t="s">
        <v>276</v>
      </c>
      <c r="E130" s="95">
        <v>1667.675</v>
      </c>
      <c r="F130" s="95">
        <f t="shared" ref="F130" si="8">+E130*0.9</f>
        <v>1500.9075</v>
      </c>
      <c r="G130" s="96">
        <f t="shared" ref="G130" si="9">+F130-E130</f>
        <v>-166.76749999999993</v>
      </c>
      <c r="H130" s="1" t="s">
        <v>17</v>
      </c>
      <c r="I130" s="1" t="s">
        <v>22</v>
      </c>
      <c r="J130" s="17">
        <v>46210</v>
      </c>
      <c r="K130" s="17">
        <v>46215</v>
      </c>
      <c r="L130" s="3" t="s">
        <v>62</v>
      </c>
      <c r="M130" s="30"/>
      <c r="N130" s="30"/>
    </row>
    <row r="131" spans="1:14">
      <c r="A131" s="1">
        <v>4088</v>
      </c>
      <c r="B131" s="1">
        <v>33611</v>
      </c>
      <c r="C131" s="94">
        <v>7795907000392</v>
      </c>
      <c r="D131" s="1" t="s">
        <v>275</v>
      </c>
      <c r="E131" s="95">
        <v>1667.675</v>
      </c>
      <c r="F131" s="95">
        <f t="shared" ref="F131:F134" si="10">+E131*0.9</f>
        <v>1500.9075</v>
      </c>
      <c r="G131" s="96">
        <f t="shared" ref="G131:G134" si="11">+F131-E131</f>
        <v>-166.76749999999993</v>
      </c>
      <c r="H131" s="1" t="s">
        <v>17</v>
      </c>
      <c r="I131" s="1" t="s">
        <v>22</v>
      </c>
      <c r="J131" s="17">
        <v>46210</v>
      </c>
      <c r="K131" s="17">
        <v>46215</v>
      </c>
      <c r="L131" s="3" t="s">
        <v>62</v>
      </c>
      <c r="M131" s="30"/>
      <c r="N131" s="30"/>
    </row>
    <row r="132" spans="1:14">
      <c r="A132" s="1">
        <v>4089</v>
      </c>
      <c r="B132" s="1">
        <v>33812</v>
      </c>
      <c r="C132" s="94">
        <v>7795907000316</v>
      </c>
      <c r="D132" s="1" t="s">
        <v>277</v>
      </c>
      <c r="E132" s="95">
        <v>1667.675</v>
      </c>
      <c r="F132" s="95">
        <f t="shared" si="10"/>
        <v>1500.9075</v>
      </c>
      <c r="G132" s="96">
        <f t="shared" si="11"/>
        <v>-166.76749999999993</v>
      </c>
      <c r="H132" s="1" t="s">
        <v>17</v>
      </c>
      <c r="I132" s="1" t="s">
        <v>22</v>
      </c>
      <c r="J132" s="17">
        <v>46210</v>
      </c>
      <c r="K132" s="17">
        <v>46215</v>
      </c>
      <c r="L132" s="3" t="s">
        <v>62</v>
      </c>
      <c r="M132" s="30"/>
      <c r="N132" s="30"/>
    </row>
    <row r="133" spans="1:14">
      <c r="A133" s="1">
        <v>664242</v>
      </c>
      <c r="B133" s="1">
        <v>33614</v>
      </c>
      <c r="C133" s="94">
        <v>7790070336149</v>
      </c>
      <c r="D133" s="1" t="s">
        <v>279</v>
      </c>
      <c r="E133" s="95">
        <v>1667.675</v>
      </c>
      <c r="F133" s="95">
        <f t="shared" si="10"/>
        <v>1500.9075</v>
      </c>
      <c r="G133" s="96">
        <f t="shared" si="11"/>
        <v>-166.76749999999993</v>
      </c>
      <c r="H133" s="1" t="s">
        <v>17</v>
      </c>
      <c r="I133" s="1" t="s">
        <v>22</v>
      </c>
      <c r="J133" s="17">
        <v>46210</v>
      </c>
      <c r="K133" s="17">
        <v>46215</v>
      </c>
      <c r="L133" s="3" t="s">
        <v>62</v>
      </c>
      <c r="M133" s="30"/>
      <c r="N133" s="30"/>
    </row>
    <row r="134" spans="1:14">
      <c r="A134" s="1">
        <v>4092</v>
      </c>
      <c r="B134" s="1">
        <v>31861</v>
      </c>
      <c r="C134" s="94">
        <v>7790230040176</v>
      </c>
      <c r="D134" s="1" t="s">
        <v>287</v>
      </c>
      <c r="E134" s="95">
        <v>1999.94</v>
      </c>
      <c r="F134" s="95">
        <f t="shared" si="10"/>
        <v>1799.9460000000001</v>
      </c>
      <c r="G134" s="96">
        <f t="shared" si="11"/>
        <v>-199.99399999999991</v>
      </c>
      <c r="H134" s="1" t="s">
        <v>17</v>
      </c>
      <c r="I134" s="1" t="s">
        <v>22</v>
      </c>
      <c r="J134" s="17">
        <v>46210</v>
      </c>
      <c r="K134" s="17">
        <v>46215</v>
      </c>
      <c r="L134" s="3" t="s">
        <v>62</v>
      </c>
      <c r="M134" s="30"/>
      <c r="N134" s="30"/>
    </row>
    <row r="135" spans="1:14">
      <c r="A135" s="1">
        <v>4104</v>
      </c>
      <c r="B135" s="1">
        <v>33630</v>
      </c>
      <c r="C135" s="94">
        <v>7790230040114</v>
      </c>
      <c r="D135" s="1" t="s">
        <v>282</v>
      </c>
      <c r="E135" s="95">
        <v>1999.94</v>
      </c>
      <c r="F135" s="95">
        <f t="shared" ref="F135:F136" si="12">+E135*0.9</f>
        <v>1799.9460000000001</v>
      </c>
      <c r="G135" s="96">
        <f t="shared" ref="G135:G136" si="13">+F135-E135</f>
        <v>-199.99399999999991</v>
      </c>
      <c r="H135" s="1" t="s">
        <v>17</v>
      </c>
      <c r="I135" s="1" t="s">
        <v>22</v>
      </c>
      <c r="J135" s="17">
        <v>46210</v>
      </c>
      <c r="K135" s="17">
        <v>46215</v>
      </c>
      <c r="L135" s="3" t="s">
        <v>62</v>
      </c>
      <c r="M135" s="30"/>
      <c r="N135" s="30"/>
    </row>
    <row r="136" spans="1:14">
      <c r="A136" s="1">
        <v>4097</v>
      </c>
      <c r="B136" s="1">
        <v>33631</v>
      </c>
      <c r="C136" s="94">
        <v>7790230034007</v>
      </c>
      <c r="D136" s="1" t="s">
        <v>286</v>
      </c>
      <c r="E136" s="95">
        <v>1999.94</v>
      </c>
      <c r="F136" s="95">
        <f t="shared" si="12"/>
        <v>1799.9460000000001</v>
      </c>
      <c r="G136" s="96">
        <f t="shared" si="13"/>
        <v>-199.99399999999991</v>
      </c>
      <c r="H136" s="1" t="s">
        <v>17</v>
      </c>
      <c r="I136" s="1" t="s">
        <v>22</v>
      </c>
      <c r="J136" s="17">
        <v>46210</v>
      </c>
      <c r="K136" s="17">
        <v>46215</v>
      </c>
      <c r="L136" s="3" t="s">
        <v>62</v>
      </c>
      <c r="M136" s="30"/>
      <c r="N136" s="30"/>
    </row>
    <row r="137" spans="1:14">
      <c r="A137" s="1">
        <v>4105</v>
      </c>
      <c r="B137" s="1">
        <v>33629</v>
      </c>
      <c r="C137" s="94">
        <v>7790230040121</v>
      </c>
      <c r="D137" s="1" t="s">
        <v>283</v>
      </c>
      <c r="E137" s="95">
        <v>1999.94</v>
      </c>
      <c r="F137" s="95">
        <f t="shared" ref="F137:F138" si="14">+E137*0.9</f>
        <v>1799.9460000000001</v>
      </c>
      <c r="G137" s="96">
        <f t="shared" ref="G137:G138" si="15">+F137-E137</f>
        <v>-199.99399999999991</v>
      </c>
      <c r="H137" s="1" t="s">
        <v>17</v>
      </c>
      <c r="I137" s="1" t="s">
        <v>22</v>
      </c>
      <c r="J137" s="17">
        <v>46210</v>
      </c>
      <c r="K137" s="17">
        <v>46215</v>
      </c>
      <c r="L137" s="3" t="s">
        <v>62</v>
      </c>
      <c r="M137" s="30"/>
      <c r="N137" s="30"/>
    </row>
    <row r="138" spans="1:14">
      <c r="A138" s="1">
        <v>664319</v>
      </c>
      <c r="B138" s="1">
        <v>33632</v>
      </c>
      <c r="C138" s="94">
        <v>7790070336323</v>
      </c>
      <c r="D138" s="1" t="s">
        <v>288</v>
      </c>
      <c r="E138" s="95">
        <v>1999.94</v>
      </c>
      <c r="F138" s="95">
        <f t="shared" si="14"/>
        <v>1799.9460000000001</v>
      </c>
      <c r="G138" s="96">
        <f t="shared" si="15"/>
        <v>-199.99399999999991</v>
      </c>
      <c r="H138" s="1" t="s">
        <v>17</v>
      </c>
      <c r="I138" s="1" t="s">
        <v>22</v>
      </c>
      <c r="J138" s="17">
        <v>46210</v>
      </c>
      <c r="K138" s="3">
        <v>46215</v>
      </c>
      <c r="L138" s="3" t="s">
        <v>62</v>
      </c>
      <c r="M138" s="30"/>
      <c r="N138" s="30"/>
    </row>
    <row r="139" spans="1:14">
      <c r="A139" s="1">
        <v>664234</v>
      </c>
      <c r="B139" s="1">
        <v>33621</v>
      </c>
      <c r="C139" s="94">
        <v>7790070336217</v>
      </c>
      <c r="D139" s="1" t="s">
        <v>284</v>
      </c>
      <c r="E139" s="95">
        <v>1999.94</v>
      </c>
      <c r="F139" s="95">
        <f t="shared" ref="F139" si="16">+E139*0.9</f>
        <v>1799.9460000000001</v>
      </c>
      <c r="G139" s="96">
        <f t="shared" ref="G139" si="17">+F139-E139</f>
        <v>-199.99399999999991</v>
      </c>
      <c r="H139" s="1" t="s">
        <v>17</v>
      </c>
      <c r="I139" s="1" t="s">
        <v>22</v>
      </c>
      <c r="J139" s="17">
        <v>46210</v>
      </c>
      <c r="K139" s="17">
        <v>46215</v>
      </c>
      <c r="L139" s="3" t="s">
        <v>62</v>
      </c>
      <c r="M139" s="30"/>
      <c r="N139" s="30"/>
    </row>
    <row r="140" spans="1:14">
      <c r="A140" s="1">
        <v>664595</v>
      </c>
      <c r="B140" s="1">
        <v>7475</v>
      </c>
      <c r="C140" s="94">
        <v>7793890260915</v>
      </c>
      <c r="D140" s="1" t="s">
        <v>154</v>
      </c>
      <c r="E140" s="95">
        <v>7670</v>
      </c>
      <c r="F140" s="49">
        <v>6136</v>
      </c>
      <c r="G140" s="96">
        <v>-1534</v>
      </c>
      <c r="H140" s="1" t="s">
        <v>17</v>
      </c>
      <c r="I140" s="1" t="s">
        <v>74</v>
      </c>
      <c r="J140" s="17">
        <v>46204</v>
      </c>
      <c r="K140" s="3">
        <v>46234</v>
      </c>
      <c r="L140" s="3" t="s">
        <v>81</v>
      </c>
      <c r="M140" s="30"/>
      <c r="N140" s="30"/>
    </row>
    <row r="141" spans="1:14">
      <c r="A141" s="1">
        <v>11956</v>
      </c>
      <c r="B141" s="1">
        <v>7476</v>
      </c>
      <c r="C141" s="94">
        <v>7793890002577</v>
      </c>
      <c r="D141" s="1" t="s">
        <v>155</v>
      </c>
      <c r="E141" s="95">
        <v>3499</v>
      </c>
      <c r="F141" s="49">
        <v>2799.2000000000003</v>
      </c>
      <c r="G141" s="96">
        <v>-699.79999999999973</v>
      </c>
      <c r="H141" s="1" t="s">
        <v>17</v>
      </c>
      <c r="I141" s="1" t="s">
        <v>74</v>
      </c>
      <c r="J141" s="17">
        <v>46204</v>
      </c>
      <c r="K141" s="3">
        <v>46234</v>
      </c>
      <c r="L141" s="3" t="s">
        <v>81</v>
      </c>
      <c r="M141" s="30"/>
      <c r="N141" s="30"/>
    </row>
    <row r="142" spans="1:14">
      <c r="A142" s="1">
        <v>14742</v>
      </c>
      <c r="B142" s="1">
        <v>6885</v>
      </c>
      <c r="C142" s="94">
        <v>7796989074905</v>
      </c>
      <c r="D142" s="1" t="s">
        <v>148</v>
      </c>
      <c r="E142" s="95">
        <v>3246</v>
      </c>
      <c r="F142" s="49">
        <v>2596.8000000000002</v>
      </c>
      <c r="G142" s="96">
        <v>-649.19999999999982</v>
      </c>
      <c r="H142" s="1" t="s">
        <v>17</v>
      </c>
      <c r="I142" s="1" t="s">
        <v>74</v>
      </c>
      <c r="J142" s="17">
        <v>46204</v>
      </c>
      <c r="K142" s="3">
        <v>46234</v>
      </c>
      <c r="L142" s="3" t="s">
        <v>81</v>
      </c>
      <c r="M142" s="30"/>
      <c r="N142" s="30"/>
    </row>
    <row r="143" spans="1:14">
      <c r="A143" s="1">
        <v>14743</v>
      </c>
      <c r="B143" s="1">
        <v>6886</v>
      </c>
      <c r="C143" s="94">
        <v>7796989074912</v>
      </c>
      <c r="D143" s="1" t="s">
        <v>150</v>
      </c>
      <c r="E143" s="95">
        <v>3245.5</v>
      </c>
      <c r="F143" s="49">
        <v>2596.4</v>
      </c>
      <c r="G143" s="96">
        <v>-649.09999999999991</v>
      </c>
      <c r="H143" s="1" t="s">
        <v>17</v>
      </c>
      <c r="I143" s="1" t="s">
        <v>74</v>
      </c>
      <c r="J143" s="17">
        <v>46204</v>
      </c>
      <c r="K143" s="3">
        <v>46234</v>
      </c>
      <c r="L143" s="3" t="s">
        <v>81</v>
      </c>
      <c r="M143" s="30"/>
      <c r="N143" s="30"/>
    </row>
    <row r="144" spans="1:14">
      <c r="A144" s="1">
        <v>666982</v>
      </c>
      <c r="B144" s="1">
        <v>6887</v>
      </c>
      <c r="C144" s="94">
        <v>7793890262179</v>
      </c>
      <c r="D144" s="1" t="s">
        <v>147</v>
      </c>
      <c r="E144" s="95">
        <v>3245.5</v>
      </c>
      <c r="F144" s="49">
        <v>2596.4</v>
      </c>
      <c r="G144" s="96">
        <v>-649.09999999999991</v>
      </c>
      <c r="H144" s="1" t="s">
        <v>17</v>
      </c>
      <c r="I144" s="1" t="s">
        <v>74</v>
      </c>
      <c r="J144" s="17">
        <v>46204</v>
      </c>
      <c r="K144" s="3">
        <v>46234</v>
      </c>
      <c r="L144" s="3" t="s">
        <v>81</v>
      </c>
      <c r="M144" s="30"/>
      <c r="N144" s="30"/>
    </row>
    <row r="145" spans="1:14">
      <c r="A145" s="1">
        <v>667222</v>
      </c>
      <c r="B145" s="1">
        <v>6893</v>
      </c>
      <c r="C145" s="94">
        <v>7793890262377</v>
      </c>
      <c r="D145" s="1" t="s">
        <v>151</v>
      </c>
      <c r="E145" s="95">
        <v>7353</v>
      </c>
      <c r="F145" s="49">
        <v>5882.4000000000005</v>
      </c>
      <c r="G145" s="96">
        <v>-1470.5999999999995</v>
      </c>
      <c r="H145" s="1" t="s">
        <v>17</v>
      </c>
      <c r="I145" s="1" t="s">
        <v>74</v>
      </c>
      <c r="J145" s="17">
        <v>46204</v>
      </c>
      <c r="K145" s="3">
        <v>46234</v>
      </c>
      <c r="L145" s="3" t="s">
        <v>81</v>
      </c>
      <c r="M145" s="30"/>
      <c r="N145" s="30"/>
    </row>
    <row r="146" spans="1:14">
      <c r="A146" s="1">
        <v>664597</v>
      </c>
      <c r="B146" s="1">
        <v>6884</v>
      </c>
      <c r="C146" s="94">
        <v>7793890261073</v>
      </c>
      <c r="D146" s="1" t="s">
        <v>149</v>
      </c>
      <c r="E146" s="95">
        <v>8335</v>
      </c>
      <c r="F146" s="49">
        <v>6668</v>
      </c>
      <c r="G146" s="96">
        <v>-1667</v>
      </c>
      <c r="H146" s="1" t="s">
        <v>17</v>
      </c>
      <c r="I146" s="1" t="s">
        <v>74</v>
      </c>
      <c r="J146" s="17">
        <v>46204</v>
      </c>
      <c r="K146" s="3">
        <v>46234</v>
      </c>
      <c r="L146" s="3" t="s">
        <v>81</v>
      </c>
      <c r="M146" s="30"/>
      <c r="N146" s="30"/>
    </row>
    <row r="147" spans="1:14">
      <c r="A147" s="1">
        <v>1603</v>
      </c>
      <c r="B147" s="1">
        <v>6720</v>
      </c>
      <c r="C147" s="94">
        <v>7793890022759</v>
      </c>
      <c r="D147" s="1" t="s">
        <v>152</v>
      </c>
      <c r="E147" s="95">
        <v>2774</v>
      </c>
      <c r="F147" s="49">
        <v>2357.9</v>
      </c>
      <c r="G147" s="96">
        <v>-416.09999999999991</v>
      </c>
      <c r="H147" s="1" t="s">
        <v>17</v>
      </c>
      <c r="I147" s="1" t="s">
        <v>69</v>
      </c>
      <c r="J147" s="17">
        <v>46204</v>
      </c>
      <c r="K147" s="3">
        <v>46234</v>
      </c>
      <c r="L147" s="3" t="s">
        <v>81</v>
      </c>
      <c r="M147" s="30"/>
      <c r="N147" s="30"/>
    </row>
    <row r="148" spans="1:14">
      <c r="A148" s="1">
        <v>1608</v>
      </c>
      <c r="B148" s="1">
        <v>6721</v>
      </c>
      <c r="C148" s="94">
        <v>7793890022766</v>
      </c>
      <c r="D148" s="1" t="s">
        <v>153</v>
      </c>
      <c r="E148" s="95">
        <v>2774</v>
      </c>
      <c r="F148" s="49">
        <v>2357.9</v>
      </c>
      <c r="G148" s="96">
        <v>-416.09999999999991</v>
      </c>
      <c r="H148" s="1" t="s">
        <v>17</v>
      </c>
      <c r="I148" s="1" t="s">
        <v>69</v>
      </c>
      <c r="J148" s="17">
        <v>46204</v>
      </c>
      <c r="K148" s="3">
        <v>46234</v>
      </c>
      <c r="L148" s="3" t="s">
        <v>81</v>
      </c>
      <c r="M148" s="30"/>
      <c r="N148" s="30"/>
    </row>
    <row r="149" spans="1:14">
      <c r="A149" s="1">
        <v>11765</v>
      </c>
      <c r="B149" s="1">
        <v>6808</v>
      </c>
      <c r="C149" s="94">
        <v>7796989007699</v>
      </c>
      <c r="D149" s="1" t="s">
        <v>145</v>
      </c>
      <c r="E149" s="95">
        <v>4320</v>
      </c>
      <c r="F149" s="49">
        <v>3672</v>
      </c>
      <c r="G149" s="96">
        <v>-648</v>
      </c>
      <c r="H149" s="1" t="s">
        <v>17</v>
      </c>
      <c r="I149" s="1" t="s">
        <v>69</v>
      </c>
      <c r="J149" s="17">
        <v>46204</v>
      </c>
      <c r="K149" s="3">
        <v>46234</v>
      </c>
      <c r="L149" s="3" t="s">
        <v>81</v>
      </c>
      <c r="M149" s="30"/>
      <c r="N149" s="30"/>
    </row>
    <row r="150" spans="1:14">
      <c r="A150" s="1">
        <v>11764</v>
      </c>
      <c r="B150" s="1">
        <v>6810</v>
      </c>
      <c r="C150" s="94">
        <v>7796989007729</v>
      </c>
      <c r="D150" s="1" t="s">
        <v>146</v>
      </c>
      <c r="E150" s="95">
        <v>4320</v>
      </c>
      <c r="F150" s="49">
        <v>3672</v>
      </c>
      <c r="G150" s="96">
        <v>-648</v>
      </c>
      <c r="H150" s="1" t="s">
        <v>17</v>
      </c>
      <c r="I150" s="1" t="s">
        <v>69</v>
      </c>
      <c r="J150" s="17">
        <v>46204</v>
      </c>
      <c r="K150" s="3">
        <v>46234</v>
      </c>
      <c r="L150" s="3" t="s">
        <v>81</v>
      </c>
      <c r="M150" s="30"/>
      <c r="N150" s="30"/>
    </row>
    <row r="151" spans="1:14">
      <c r="A151" s="1">
        <v>5701</v>
      </c>
      <c r="B151" s="1">
        <v>1912</v>
      </c>
      <c r="C151" s="94">
        <v>7793890019124</v>
      </c>
      <c r="D151" s="1" t="s">
        <v>97</v>
      </c>
      <c r="E151" s="95">
        <v>6425</v>
      </c>
      <c r="F151" s="49">
        <v>4176.25</v>
      </c>
      <c r="G151" s="96">
        <v>-2248.75</v>
      </c>
      <c r="H151" s="1" t="s">
        <v>292</v>
      </c>
      <c r="I151" s="1" t="s">
        <v>111</v>
      </c>
      <c r="J151" s="17">
        <v>46204</v>
      </c>
      <c r="K151" s="3">
        <v>46234</v>
      </c>
      <c r="L151" s="3" t="s">
        <v>81</v>
      </c>
      <c r="M151" s="30"/>
      <c r="N151" s="30"/>
    </row>
    <row r="152" spans="1:14">
      <c r="A152" s="1">
        <v>101912</v>
      </c>
      <c r="B152" s="1">
        <v>6701</v>
      </c>
      <c r="C152" s="94">
        <v>7793890257922</v>
      </c>
      <c r="D152" s="1" t="s">
        <v>98</v>
      </c>
      <c r="E152" s="95">
        <v>7159</v>
      </c>
      <c r="F152" s="49">
        <v>4653.3500000000004</v>
      </c>
      <c r="G152" s="96">
        <v>-2505.6499999999996</v>
      </c>
      <c r="H152" s="1" t="s">
        <v>292</v>
      </c>
      <c r="I152" s="1" t="s">
        <v>111</v>
      </c>
      <c r="J152" s="17">
        <v>46204</v>
      </c>
      <c r="K152" s="3">
        <v>46234</v>
      </c>
      <c r="L152" s="3" t="s">
        <v>81</v>
      </c>
      <c r="M152" s="30"/>
      <c r="N152" s="30"/>
    </row>
    <row r="153" spans="1:14">
      <c r="A153" s="1">
        <v>7910</v>
      </c>
      <c r="B153" s="1">
        <v>6706</v>
      </c>
      <c r="C153" s="94">
        <v>7793890016185</v>
      </c>
      <c r="D153" s="1" t="s">
        <v>99</v>
      </c>
      <c r="E153" s="95">
        <v>6220</v>
      </c>
      <c r="F153" s="49">
        <v>4043</v>
      </c>
      <c r="G153" s="96">
        <v>-2177</v>
      </c>
      <c r="H153" s="1" t="s">
        <v>292</v>
      </c>
      <c r="I153" s="1" t="s">
        <v>111</v>
      </c>
      <c r="J153" s="17">
        <v>46204</v>
      </c>
      <c r="K153" s="3">
        <v>46234</v>
      </c>
      <c r="L153" s="3" t="s">
        <v>81</v>
      </c>
      <c r="M153" s="30"/>
      <c r="N153" s="30"/>
    </row>
    <row r="154" spans="1:14">
      <c r="A154" s="1">
        <v>1594</v>
      </c>
      <c r="B154" s="1">
        <v>6708</v>
      </c>
      <c r="C154" s="94">
        <v>7793890100068</v>
      </c>
      <c r="D154" s="1" t="s">
        <v>100</v>
      </c>
      <c r="E154" s="95">
        <v>8245</v>
      </c>
      <c r="F154" s="49">
        <v>5359.25</v>
      </c>
      <c r="G154" s="96">
        <v>-2885.75</v>
      </c>
      <c r="H154" s="1" t="s">
        <v>292</v>
      </c>
      <c r="I154" s="1" t="s">
        <v>111</v>
      </c>
      <c r="J154" s="17">
        <v>46204</v>
      </c>
      <c r="K154" s="3">
        <v>46234</v>
      </c>
      <c r="L154" s="3" t="s">
        <v>81</v>
      </c>
      <c r="M154" s="30"/>
      <c r="N154" s="30"/>
    </row>
    <row r="155" spans="1:14">
      <c r="A155" s="1">
        <v>664069</v>
      </c>
      <c r="B155" s="1">
        <v>6705</v>
      </c>
      <c r="C155" s="94">
        <v>7793890259704</v>
      </c>
      <c r="D155" s="1" t="s">
        <v>101</v>
      </c>
      <c r="E155" s="95">
        <v>5800</v>
      </c>
      <c r="F155" s="49">
        <v>3770</v>
      </c>
      <c r="G155" s="96">
        <v>-2030</v>
      </c>
      <c r="H155" s="1" t="s">
        <v>292</v>
      </c>
      <c r="I155" s="1" t="s">
        <v>111</v>
      </c>
      <c r="J155" s="17">
        <v>46204</v>
      </c>
      <c r="K155" s="3">
        <v>46234</v>
      </c>
      <c r="L155" s="3" t="s">
        <v>81</v>
      </c>
      <c r="M155" s="30"/>
      <c r="N155" s="30"/>
    </row>
    <row r="156" spans="1:14">
      <c r="A156" s="1">
        <v>7318</v>
      </c>
      <c r="B156" s="1">
        <v>6712</v>
      </c>
      <c r="C156" s="94">
        <v>7793890116175</v>
      </c>
      <c r="D156" s="1" t="s">
        <v>102</v>
      </c>
      <c r="E156" s="95">
        <v>7160</v>
      </c>
      <c r="F156" s="49">
        <v>4654</v>
      </c>
      <c r="G156" s="96">
        <v>-2506</v>
      </c>
      <c r="H156" s="1" t="s">
        <v>292</v>
      </c>
      <c r="I156" s="1" t="s">
        <v>111</v>
      </c>
      <c r="J156" s="17">
        <v>46204</v>
      </c>
      <c r="K156" s="3">
        <v>46234</v>
      </c>
      <c r="L156" s="3" t="s">
        <v>81</v>
      </c>
      <c r="M156" s="30"/>
      <c r="N156" s="30"/>
    </row>
    <row r="157" spans="1:14">
      <c r="A157" s="1">
        <v>1579</v>
      </c>
      <c r="B157" s="1">
        <v>6724</v>
      </c>
      <c r="C157" s="94">
        <v>7793890100099</v>
      </c>
      <c r="D157" s="1" t="s">
        <v>103</v>
      </c>
      <c r="E157" s="95">
        <v>6430</v>
      </c>
      <c r="F157" s="49">
        <v>4179.5</v>
      </c>
      <c r="G157" s="96">
        <v>-2250.5</v>
      </c>
      <c r="H157" s="1" t="s">
        <v>292</v>
      </c>
      <c r="I157" s="1" t="s">
        <v>111</v>
      </c>
      <c r="J157" s="17">
        <v>46204</v>
      </c>
      <c r="K157" s="3">
        <v>46234</v>
      </c>
      <c r="L157" s="3" t="s">
        <v>81</v>
      </c>
      <c r="M157" s="30"/>
      <c r="N157" s="30"/>
    </row>
    <row r="158" spans="1:14">
      <c r="A158" s="1">
        <v>14780</v>
      </c>
      <c r="B158" s="1">
        <v>6801</v>
      </c>
      <c r="C158" s="94">
        <v>7796989008511</v>
      </c>
      <c r="D158" s="1" t="s">
        <v>104</v>
      </c>
      <c r="E158" s="95">
        <v>8699</v>
      </c>
      <c r="F158" s="49">
        <v>6089.2999999999993</v>
      </c>
      <c r="G158" s="96">
        <v>-2609.7000000000007</v>
      </c>
      <c r="H158" s="1" t="s">
        <v>292</v>
      </c>
      <c r="I158" s="1" t="s">
        <v>93</v>
      </c>
      <c r="J158" s="17">
        <v>46204</v>
      </c>
      <c r="K158" s="3">
        <v>46234</v>
      </c>
      <c r="L158" s="3" t="s">
        <v>81</v>
      </c>
      <c r="M158" s="30"/>
      <c r="N158" s="30"/>
    </row>
    <row r="159" spans="1:14">
      <c r="A159" s="1">
        <v>11763</v>
      </c>
      <c r="B159" s="1">
        <v>6804</v>
      </c>
      <c r="C159" s="94">
        <v>7796989007620</v>
      </c>
      <c r="D159" s="1" t="s">
        <v>105</v>
      </c>
      <c r="E159" s="95">
        <v>6219</v>
      </c>
      <c r="F159" s="49">
        <v>4353.2999999999993</v>
      </c>
      <c r="G159" s="96">
        <v>-1865.7000000000007</v>
      </c>
      <c r="H159" s="1" t="s">
        <v>292</v>
      </c>
      <c r="I159" s="1" t="s">
        <v>93</v>
      </c>
      <c r="J159" s="17">
        <v>46204</v>
      </c>
      <c r="K159" s="3">
        <v>46234</v>
      </c>
      <c r="L159" s="3" t="s">
        <v>81</v>
      </c>
      <c r="M159" s="30"/>
      <c r="N159" s="30"/>
    </row>
    <row r="160" spans="1:14">
      <c r="A160" s="1">
        <v>664048</v>
      </c>
      <c r="B160" s="1">
        <v>6807</v>
      </c>
      <c r="C160" s="94">
        <v>7793890259063</v>
      </c>
      <c r="D160" s="1" t="s">
        <v>106</v>
      </c>
      <c r="E160" s="95">
        <v>6849</v>
      </c>
      <c r="F160" s="49">
        <v>4794.2999999999993</v>
      </c>
      <c r="G160" s="96">
        <v>-2054.7000000000007</v>
      </c>
      <c r="H160" s="1" t="s">
        <v>292</v>
      </c>
      <c r="I160" s="1" t="s">
        <v>93</v>
      </c>
      <c r="J160" s="17">
        <v>46204</v>
      </c>
      <c r="K160" s="3">
        <v>46234</v>
      </c>
      <c r="L160" s="3" t="s">
        <v>81</v>
      </c>
      <c r="M160" s="30"/>
      <c r="N160" s="30"/>
    </row>
    <row r="161" spans="1:14">
      <c r="A161" s="1">
        <v>658227</v>
      </c>
      <c r="B161" s="1">
        <v>6732</v>
      </c>
      <c r="C161" s="94">
        <v>7793890251432</v>
      </c>
      <c r="D161" s="1" t="s">
        <v>83</v>
      </c>
      <c r="E161" s="95">
        <v>4350</v>
      </c>
      <c r="F161" s="49">
        <v>3262.5</v>
      </c>
      <c r="G161" s="96">
        <v>-1087.5</v>
      </c>
      <c r="H161" s="1" t="s">
        <v>292</v>
      </c>
      <c r="I161" s="1" t="s">
        <v>23</v>
      </c>
      <c r="J161" s="17">
        <v>46204</v>
      </c>
      <c r="K161" s="3">
        <v>46234</v>
      </c>
      <c r="L161" s="3" t="s">
        <v>81</v>
      </c>
      <c r="M161" s="30"/>
      <c r="N161" s="30"/>
    </row>
    <row r="162" spans="1:14">
      <c r="A162" s="1">
        <v>11190</v>
      </c>
      <c r="B162" s="1">
        <v>6722</v>
      </c>
      <c r="C162" s="94">
        <v>7793890016307</v>
      </c>
      <c r="D162" s="1" t="s">
        <v>84</v>
      </c>
      <c r="E162" s="95">
        <v>5725</v>
      </c>
      <c r="F162" s="49">
        <v>4293.75</v>
      </c>
      <c r="G162" s="96">
        <v>-1431.25</v>
      </c>
      <c r="H162" s="1" t="s">
        <v>292</v>
      </c>
      <c r="I162" s="1" t="s">
        <v>23</v>
      </c>
      <c r="J162" s="17">
        <v>46204</v>
      </c>
      <c r="K162" s="3">
        <v>46234</v>
      </c>
      <c r="L162" s="3" t="s">
        <v>81</v>
      </c>
      <c r="M162" s="30"/>
      <c r="N162" s="30"/>
    </row>
    <row r="163" spans="1:14">
      <c r="A163" s="1">
        <v>14762</v>
      </c>
      <c r="B163" s="1">
        <v>6811</v>
      </c>
      <c r="C163" s="94">
        <v>7796989004292</v>
      </c>
      <c r="D163" s="1" t="s">
        <v>87</v>
      </c>
      <c r="E163" s="95">
        <v>11259</v>
      </c>
      <c r="F163" s="49">
        <v>8444.25</v>
      </c>
      <c r="G163" s="96">
        <v>-2814.75</v>
      </c>
      <c r="H163" s="1" t="s">
        <v>292</v>
      </c>
      <c r="I163" s="1" t="s">
        <v>23</v>
      </c>
      <c r="J163" s="17">
        <v>46204</v>
      </c>
      <c r="K163" s="3">
        <v>46234</v>
      </c>
      <c r="L163" s="3" t="s">
        <v>81</v>
      </c>
      <c r="M163" s="30"/>
      <c r="N163" s="30"/>
    </row>
    <row r="164" spans="1:14">
      <c r="A164" s="1">
        <v>14761</v>
      </c>
      <c r="B164" s="1">
        <v>6812</v>
      </c>
      <c r="C164" s="94">
        <v>7796989009983</v>
      </c>
      <c r="D164" s="1" t="s">
        <v>88</v>
      </c>
      <c r="E164" s="95">
        <v>11259</v>
      </c>
      <c r="F164" s="49">
        <v>8444.25</v>
      </c>
      <c r="G164" s="96">
        <v>-2814.75</v>
      </c>
      <c r="H164" s="1" t="s">
        <v>292</v>
      </c>
      <c r="I164" s="1" t="s">
        <v>23</v>
      </c>
      <c r="J164" s="17">
        <v>46204</v>
      </c>
      <c r="K164" s="3">
        <v>46234</v>
      </c>
      <c r="L164" s="3" t="s">
        <v>81</v>
      </c>
      <c r="M164" s="30"/>
      <c r="N164" s="30"/>
    </row>
    <row r="165" spans="1:14">
      <c r="A165" s="1">
        <v>667069</v>
      </c>
      <c r="B165" s="1">
        <v>6892</v>
      </c>
      <c r="C165" s="94">
        <v>7793890261837</v>
      </c>
      <c r="D165" s="1" t="s">
        <v>129</v>
      </c>
      <c r="E165" s="95">
        <v>11259</v>
      </c>
      <c r="F165" s="49">
        <v>8444.25</v>
      </c>
      <c r="G165" s="96">
        <v>-2814.75</v>
      </c>
      <c r="H165" s="1" t="s">
        <v>292</v>
      </c>
      <c r="I165" s="1" t="s">
        <v>23</v>
      </c>
      <c r="J165" s="17">
        <v>46204</v>
      </c>
      <c r="K165" s="3">
        <v>46234</v>
      </c>
      <c r="L165" s="3" t="s">
        <v>81</v>
      </c>
      <c r="M165" s="30"/>
      <c r="N165" s="30"/>
    </row>
    <row r="166" spans="1:14">
      <c r="A166" s="1">
        <v>664162</v>
      </c>
      <c r="B166" s="1">
        <v>6847</v>
      </c>
      <c r="C166" s="94">
        <v>7793890259193</v>
      </c>
      <c r="D166" s="1" t="s">
        <v>89</v>
      </c>
      <c r="E166" s="95">
        <v>6390</v>
      </c>
      <c r="F166" s="49">
        <v>4792.5</v>
      </c>
      <c r="G166" s="96">
        <v>-1597.5</v>
      </c>
      <c r="H166" s="1" t="s">
        <v>292</v>
      </c>
      <c r="I166" s="1" t="s">
        <v>23</v>
      </c>
      <c r="J166" s="17">
        <v>46204</v>
      </c>
      <c r="K166" s="3">
        <v>46234</v>
      </c>
      <c r="L166" s="3" t="s">
        <v>81</v>
      </c>
      <c r="M166" s="30"/>
      <c r="N166" s="30"/>
    </row>
    <row r="167" spans="1:14">
      <c r="A167" s="1">
        <v>664836</v>
      </c>
      <c r="B167" s="1">
        <v>6848</v>
      </c>
      <c r="C167" s="94">
        <v>7793890259957</v>
      </c>
      <c r="D167" s="1" t="s">
        <v>90</v>
      </c>
      <c r="E167" s="95">
        <v>5805</v>
      </c>
      <c r="F167" s="49">
        <v>4353.75</v>
      </c>
      <c r="G167" s="96">
        <v>-1451.25</v>
      </c>
      <c r="H167" s="1" t="s">
        <v>292</v>
      </c>
      <c r="I167" s="1" t="s">
        <v>23</v>
      </c>
      <c r="J167" s="17">
        <v>46204</v>
      </c>
      <c r="K167" s="3">
        <v>46234</v>
      </c>
      <c r="L167" s="3" t="s">
        <v>81</v>
      </c>
      <c r="M167" s="30"/>
      <c r="N167" s="30"/>
    </row>
    <row r="168" spans="1:14">
      <c r="A168" s="1">
        <v>1590</v>
      </c>
      <c r="B168" s="1">
        <v>6716</v>
      </c>
      <c r="C168" s="94">
        <v>7793890250992</v>
      </c>
      <c r="D168" s="1" t="s">
        <v>80</v>
      </c>
      <c r="E168" s="95">
        <v>3469</v>
      </c>
      <c r="F168" s="49">
        <v>2775.2000000000003</v>
      </c>
      <c r="G168" s="96">
        <v>-693.79999999999973</v>
      </c>
      <c r="H168" s="1" t="s">
        <v>292</v>
      </c>
      <c r="I168" s="1" t="s">
        <v>74</v>
      </c>
      <c r="J168" s="17">
        <v>46204</v>
      </c>
      <c r="K168" s="3">
        <v>46234</v>
      </c>
      <c r="L168" s="3" t="s">
        <v>81</v>
      </c>
      <c r="M168" s="30"/>
      <c r="N168" s="30"/>
    </row>
    <row r="169" spans="1:14">
      <c r="A169" s="1">
        <v>1607</v>
      </c>
      <c r="B169" s="1">
        <v>6719</v>
      </c>
      <c r="C169" s="94">
        <v>7793890116274</v>
      </c>
      <c r="D169" s="1" t="s">
        <v>82</v>
      </c>
      <c r="E169" s="95">
        <v>4939</v>
      </c>
      <c r="F169" s="49">
        <v>3951.2000000000003</v>
      </c>
      <c r="G169" s="96">
        <v>-987.79999999999973</v>
      </c>
      <c r="H169" s="1" t="s">
        <v>292</v>
      </c>
      <c r="I169" s="1" t="s">
        <v>74</v>
      </c>
      <c r="J169" s="17">
        <v>46204</v>
      </c>
      <c r="K169" s="3">
        <v>46234</v>
      </c>
      <c r="L169" s="3" t="s">
        <v>81</v>
      </c>
      <c r="M169" s="30"/>
      <c r="N169" s="30"/>
    </row>
    <row r="170" spans="1:14">
      <c r="A170" s="1">
        <v>664049</v>
      </c>
      <c r="B170" s="1">
        <v>6826</v>
      </c>
      <c r="C170" s="94">
        <v>7793890259056</v>
      </c>
      <c r="D170" s="1" t="s">
        <v>107</v>
      </c>
      <c r="E170" s="95">
        <v>6850</v>
      </c>
      <c r="F170" s="49">
        <v>5480</v>
      </c>
      <c r="G170" s="96">
        <v>-1370</v>
      </c>
      <c r="H170" s="1" t="s">
        <v>292</v>
      </c>
      <c r="I170" s="1" t="s">
        <v>74</v>
      </c>
      <c r="J170" s="17">
        <v>46204</v>
      </c>
      <c r="K170" s="3">
        <v>46234</v>
      </c>
      <c r="L170" s="3" t="s">
        <v>81</v>
      </c>
      <c r="M170" s="30"/>
      <c r="N170" s="30"/>
    </row>
    <row r="171" spans="1:14">
      <c r="A171" s="1">
        <v>662226</v>
      </c>
      <c r="B171" s="1">
        <v>6883</v>
      </c>
      <c r="C171" s="94">
        <v>7793890258295</v>
      </c>
      <c r="D171" s="1" t="s">
        <v>85</v>
      </c>
      <c r="E171" s="95">
        <v>9389</v>
      </c>
      <c r="F171" s="49">
        <v>7511.2000000000007</v>
      </c>
      <c r="G171" s="96">
        <v>-1877.7999999999993</v>
      </c>
      <c r="H171" s="1" t="s">
        <v>292</v>
      </c>
      <c r="I171" s="1" t="s">
        <v>74</v>
      </c>
      <c r="J171" s="17">
        <v>46204</v>
      </c>
      <c r="K171" s="3">
        <v>46234</v>
      </c>
      <c r="L171" s="3" t="s">
        <v>81</v>
      </c>
      <c r="M171" s="30"/>
      <c r="N171" s="30"/>
    </row>
    <row r="172" spans="1:14">
      <c r="A172" s="1">
        <v>11137</v>
      </c>
      <c r="B172" s="1">
        <v>6882</v>
      </c>
      <c r="C172" s="94">
        <v>7796989008542</v>
      </c>
      <c r="D172" s="1" t="s">
        <v>86</v>
      </c>
      <c r="E172" s="95">
        <v>8609</v>
      </c>
      <c r="F172" s="49">
        <v>6887.2000000000007</v>
      </c>
      <c r="G172" s="96">
        <v>-1721.7999999999993</v>
      </c>
      <c r="H172" s="1" t="s">
        <v>292</v>
      </c>
      <c r="I172" s="1" t="s">
        <v>74</v>
      </c>
      <c r="J172" s="17">
        <v>46204</v>
      </c>
      <c r="K172" s="3">
        <v>46234</v>
      </c>
      <c r="L172" s="3" t="s">
        <v>81</v>
      </c>
      <c r="M172" s="30"/>
      <c r="N172" s="30"/>
    </row>
    <row r="173" spans="1:14">
      <c r="A173" s="1">
        <v>667065</v>
      </c>
      <c r="B173" s="1">
        <v>6888</v>
      </c>
      <c r="C173" s="94">
        <v>7793890262407</v>
      </c>
      <c r="D173" s="1" t="s">
        <v>128</v>
      </c>
      <c r="E173" s="95">
        <v>8300</v>
      </c>
      <c r="F173" s="49">
        <v>6640</v>
      </c>
      <c r="G173" s="96">
        <v>-1660</v>
      </c>
      <c r="H173" s="1" t="s">
        <v>292</v>
      </c>
      <c r="I173" s="1" t="s">
        <v>74</v>
      </c>
      <c r="J173" s="17">
        <v>46204</v>
      </c>
      <c r="K173" s="3">
        <v>46234</v>
      </c>
      <c r="L173" s="3" t="s">
        <v>81</v>
      </c>
      <c r="M173" s="30"/>
      <c r="N173" s="30"/>
    </row>
    <row r="174" spans="1:14">
      <c r="A174" s="1">
        <v>7654</v>
      </c>
      <c r="B174" s="1">
        <v>295</v>
      </c>
      <c r="C174" s="94">
        <v>7790670051350</v>
      </c>
      <c r="D174" s="1" t="s">
        <v>108</v>
      </c>
      <c r="E174" s="95">
        <v>1736.93</v>
      </c>
      <c r="F174" s="49">
        <v>1129.0045</v>
      </c>
      <c r="G174" s="96">
        <v>-607.92550000000006</v>
      </c>
      <c r="H174" s="1" t="s">
        <v>14</v>
      </c>
      <c r="I174" s="1" t="s">
        <v>120</v>
      </c>
      <c r="J174" s="17">
        <v>46204</v>
      </c>
      <c r="K174" s="3">
        <v>46234</v>
      </c>
      <c r="L174" s="3" t="s">
        <v>61</v>
      </c>
      <c r="M174" s="30"/>
      <c r="N174" s="30"/>
    </row>
    <row r="175" spans="1:14">
      <c r="A175" s="1">
        <v>4192</v>
      </c>
      <c r="B175" s="1">
        <v>1820</v>
      </c>
      <c r="C175" s="94">
        <v>7891515481599</v>
      </c>
      <c r="D175" s="1" t="s">
        <v>110</v>
      </c>
      <c r="E175" s="95">
        <v>3115.37</v>
      </c>
      <c r="F175" s="49">
        <v>2024.9905000000001</v>
      </c>
      <c r="G175" s="96">
        <v>-1090.3794999999998</v>
      </c>
      <c r="H175" s="1" t="s">
        <v>14</v>
      </c>
      <c r="I175" s="1" t="s">
        <v>120</v>
      </c>
      <c r="J175" s="17">
        <v>46204</v>
      </c>
      <c r="K175" s="3">
        <v>46234</v>
      </c>
      <c r="L175" s="3" t="s">
        <v>61</v>
      </c>
      <c r="M175" s="30"/>
      <c r="N175" s="30"/>
    </row>
    <row r="176" spans="1:14">
      <c r="A176" s="1">
        <v>657787</v>
      </c>
      <c r="B176" s="1">
        <v>1830</v>
      </c>
      <c r="C176" s="94">
        <v>7790670045199</v>
      </c>
      <c r="D176" s="1" t="s">
        <v>109</v>
      </c>
      <c r="E176" s="95">
        <v>2712.3</v>
      </c>
      <c r="F176" s="49">
        <v>1762.9950000000001</v>
      </c>
      <c r="G176" s="96">
        <v>-949.30500000000006</v>
      </c>
      <c r="H176" s="1" t="s">
        <v>14</v>
      </c>
      <c r="I176" s="1" t="s">
        <v>120</v>
      </c>
      <c r="J176" s="17">
        <v>46204</v>
      </c>
      <c r="K176" s="3">
        <v>46234</v>
      </c>
      <c r="L176" s="3" t="s">
        <v>61</v>
      </c>
      <c r="M176" s="30"/>
      <c r="N176" s="30"/>
    </row>
    <row r="177" spans="1:14">
      <c r="A177" s="1">
        <v>667246</v>
      </c>
      <c r="B177" s="1">
        <v>549</v>
      </c>
      <c r="C177" s="94">
        <v>7790670052418</v>
      </c>
      <c r="D177" s="1" t="s">
        <v>130</v>
      </c>
      <c r="E177" s="95">
        <v>5903.99</v>
      </c>
      <c r="F177" s="49">
        <v>4132.7929999999997</v>
      </c>
      <c r="G177" s="96">
        <v>-1771.1970000000001</v>
      </c>
      <c r="H177" s="1" t="s">
        <v>14</v>
      </c>
      <c r="I177" s="1" t="s">
        <v>114</v>
      </c>
      <c r="J177" s="17">
        <v>46204</v>
      </c>
      <c r="K177" s="3">
        <v>46234</v>
      </c>
      <c r="L177" s="3" t="s">
        <v>61</v>
      </c>
      <c r="M177" s="30"/>
      <c r="N177" s="30"/>
    </row>
    <row r="178" spans="1:14">
      <c r="A178" s="1">
        <v>3864</v>
      </c>
      <c r="B178" s="1">
        <v>1680</v>
      </c>
      <c r="C178" s="94">
        <v>7790670051220</v>
      </c>
      <c r="D178" s="1" t="s">
        <v>293</v>
      </c>
      <c r="E178" s="95">
        <v>2316.67</v>
      </c>
      <c r="F178" s="49">
        <v>1390.002</v>
      </c>
      <c r="G178" s="96">
        <v>-926.66800000000012</v>
      </c>
      <c r="H178" s="1" t="s">
        <v>14</v>
      </c>
      <c r="I178" s="1" t="s">
        <v>113</v>
      </c>
      <c r="J178" s="17">
        <v>46204</v>
      </c>
      <c r="K178" s="3">
        <v>46234</v>
      </c>
      <c r="L178" s="3" t="s">
        <v>61</v>
      </c>
      <c r="M178" s="30"/>
      <c r="N178" s="30"/>
    </row>
    <row r="179" spans="1:14">
      <c r="A179" s="1">
        <v>8213</v>
      </c>
      <c r="B179" s="1">
        <v>24683</v>
      </c>
      <c r="C179" s="94">
        <v>7793147118822</v>
      </c>
      <c r="D179" s="1" t="s">
        <v>299</v>
      </c>
      <c r="E179" s="95">
        <v>2580</v>
      </c>
      <c r="F179" s="49">
        <v>1935</v>
      </c>
      <c r="G179" s="49">
        <v>-645</v>
      </c>
      <c r="H179" s="1" t="s">
        <v>17</v>
      </c>
      <c r="I179" s="1" t="s">
        <v>23</v>
      </c>
      <c r="J179" s="17">
        <v>46217</v>
      </c>
      <c r="K179" s="3">
        <v>46234</v>
      </c>
      <c r="L179" s="3" t="s">
        <v>716</v>
      </c>
      <c r="M179" s="30"/>
      <c r="N179" s="30"/>
    </row>
    <row r="180" spans="1:14">
      <c r="A180" s="1">
        <v>884</v>
      </c>
      <c r="B180" s="1">
        <v>2117</v>
      </c>
      <c r="C180" s="94">
        <v>7792798012923</v>
      </c>
      <c r="D180" s="1" t="s">
        <v>629</v>
      </c>
      <c r="E180" s="95">
        <v>2720</v>
      </c>
      <c r="F180" s="49">
        <v>2040</v>
      </c>
      <c r="G180" s="49">
        <v>-680</v>
      </c>
      <c r="H180" s="1" t="s">
        <v>17</v>
      </c>
      <c r="I180" s="1" t="s">
        <v>23</v>
      </c>
      <c r="J180" s="17">
        <v>46217</v>
      </c>
      <c r="K180" s="3">
        <v>46234</v>
      </c>
      <c r="L180" s="3" t="s">
        <v>716</v>
      </c>
      <c r="M180" s="30"/>
      <c r="N180" s="30"/>
    </row>
    <row r="181" spans="1:14">
      <c r="A181" s="1">
        <v>2487</v>
      </c>
      <c r="B181" s="1">
        <v>7618</v>
      </c>
      <c r="C181" s="94">
        <v>7792798005888</v>
      </c>
      <c r="D181" s="1" t="s">
        <v>630</v>
      </c>
      <c r="E181" s="95">
        <v>2720</v>
      </c>
      <c r="F181" s="49">
        <v>2040</v>
      </c>
      <c r="G181" s="49">
        <v>-680</v>
      </c>
      <c r="H181" s="1" t="s">
        <v>17</v>
      </c>
      <c r="I181" s="1" t="s">
        <v>23</v>
      </c>
      <c r="J181" s="17">
        <v>46217</v>
      </c>
      <c r="K181" s="3">
        <v>46234</v>
      </c>
      <c r="L181" s="3" t="s">
        <v>716</v>
      </c>
      <c r="M181" s="30"/>
      <c r="N181" s="30"/>
    </row>
    <row r="182" spans="1:14">
      <c r="A182" s="1">
        <v>18514</v>
      </c>
      <c r="B182" s="1">
        <v>29743</v>
      </c>
      <c r="C182" s="94">
        <v>7792798001262</v>
      </c>
      <c r="D182" s="1" t="s">
        <v>631</v>
      </c>
      <c r="E182" s="95">
        <v>2193</v>
      </c>
      <c r="F182" s="49">
        <v>1600.8899999999999</v>
      </c>
      <c r="G182" s="49">
        <v>-592.11000000000013</v>
      </c>
      <c r="H182" s="1" t="s">
        <v>17</v>
      </c>
      <c r="I182" s="1" t="s">
        <v>632</v>
      </c>
      <c r="J182" s="17">
        <v>46217</v>
      </c>
      <c r="K182" s="3">
        <v>46234</v>
      </c>
      <c r="L182" s="3" t="s">
        <v>716</v>
      </c>
      <c r="M182" s="30"/>
      <c r="N182" s="30"/>
    </row>
    <row r="183" spans="1:14">
      <c r="A183" s="1">
        <v>18452</v>
      </c>
      <c r="B183" s="1">
        <v>24877</v>
      </c>
      <c r="C183" s="94">
        <v>7792798001293</v>
      </c>
      <c r="D183" s="1" t="s">
        <v>633</v>
      </c>
      <c r="E183" s="95">
        <v>4020</v>
      </c>
      <c r="F183" s="49">
        <v>2814</v>
      </c>
      <c r="G183" s="49">
        <v>-1206</v>
      </c>
      <c r="H183" s="1" t="s">
        <v>17</v>
      </c>
      <c r="I183" s="1" t="s">
        <v>93</v>
      </c>
      <c r="J183" s="17">
        <v>46217</v>
      </c>
      <c r="K183" s="3">
        <v>46234</v>
      </c>
      <c r="L183" s="3" t="s">
        <v>716</v>
      </c>
      <c r="M183" s="30"/>
      <c r="N183" s="30"/>
    </row>
    <row r="184" spans="1:14">
      <c r="A184" s="1">
        <v>3599</v>
      </c>
      <c r="B184" s="1">
        <v>20443</v>
      </c>
      <c r="C184" s="94">
        <v>75032715</v>
      </c>
      <c r="D184" s="1" t="s">
        <v>634</v>
      </c>
      <c r="E184" s="95">
        <v>4542</v>
      </c>
      <c r="F184" s="49">
        <v>2952.3</v>
      </c>
      <c r="G184" s="49">
        <v>-1589.6999999999998</v>
      </c>
      <c r="H184" s="1" t="s">
        <v>17</v>
      </c>
      <c r="I184" s="1" t="s">
        <v>111</v>
      </c>
      <c r="J184" s="17">
        <v>46217</v>
      </c>
      <c r="K184" s="3">
        <v>46234</v>
      </c>
      <c r="L184" s="3" t="s">
        <v>716</v>
      </c>
      <c r="M184" s="30"/>
      <c r="N184" s="30"/>
    </row>
    <row r="185" spans="1:14">
      <c r="A185" s="1">
        <v>2493</v>
      </c>
      <c r="B185" s="1">
        <v>24930</v>
      </c>
      <c r="C185" s="94">
        <v>7792798006045</v>
      </c>
      <c r="D185" s="1" t="s">
        <v>635</v>
      </c>
      <c r="E185" s="95">
        <v>4072</v>
      </c>
      <c r="F185" s="49">
        <v>2646.8</v>
      </c>
      <c r="G185" s="49">
        <v>-1425.1999999999998</v>
      </c>
      <c r="H185" s="1" t="s">
        <v>17</v>
      </c>
      <c r="I185" s="1" t="s">
        <v>111</v>
      </c>
      <c r="J185" s="17">
        <v>46217</v>
      </c>
      <c r="K185" s="3">
        <v>46234</v>
      </c>
      <c r="L185" s="3" t="s">
        <v>716</v>
      </c>
      <c r="M185" s="30"/>
      <c r="N185" s="30"/>
    </row>
    <row r="186" spans="1:14">
      <c r="A186" s="1">
        <v>4294</v>
      </c>
      <c r="B186" s="1">
        <v>20433</v>
      </c>
      <c r="C186" s="94">
        <v>7501064106859</v>
      </c>
      <c r="D186" s="1" t="s">
        <v>636</v>
      </c>
      <c r="E186" s="95">
        <v>7480</v>
      </c>
      <c r="F186" s="49">
        <v>4862</v>
      </c>
      <c r="G186" s="49">
        <v>-2618</v>
      </c>
      <c r="H186" s="1" t="s">
        <v>17</v>
      </c>
      <c r="I186" s="1" t="s">
        <v>111</v>
      </c>
      <c r="J186" s="17">
        <v>46217</v>
      </c>
      <c r="K186" s="3">
        <v>46234</v>
      </c>
      <c r="L186" s="3" t="s">
        <v>716</v>
      </c>
      <c r="M186" s="30"/>
      <c r="N186" s="30"/>
    </row>
    <row r="187" spans="1:14">
      <c r="A187" s="1">
        <v>663854</v>
      </c>
      <c r="B187" s="1">
        <v>31355</v>
      </c>
      <c r="C187" s="94">
        <v>7792798014958</v>
      </c>
      <c r="D187" s="1" t="s">
        <v>637</v>
      </c>
      <c r="E187" s="95">
        <v>3053</v>
      </c>
      <c r="F187" s="49">
        <v>1526.5</v>
      </c>
      <c r="G187" s="49">
        <v>-1526.5</v>
      </c>
      <c r="H187" s="1" t="s">
        <v>14</v>
      </c>
      <c r="I187" s="1" t="s">
        <v>638</v>
      </c>
      <c r="J187" s="17">
        <v>46217</v>
      </c>
      <c r="K187" s="3">
        <v>46234</v>
      </c>
      <c r="L187" s="3" t="s">
        <v>716</v>
      </c>
      <c r="M187" s="30"/>
      <c r="N187" s="30"/>
    </row>
    <row r="188" spans="1:14">
      <c r="A188" s="1">
        <v>665452</v>
      </c>
      <c r="B188" s="1">
        <v>31213</v>
      </c>
      <c r="C188" s="94">
        <v>7792798014705</v>
      </c>
      <c r="D188" s="1" t="s">
        <v>639</v>
      </c>
      <c r="E188" s="95">
        <v>4642</v>
      </c>
      <c r="F188" s="49">
        <v>2321</v>
      </c>
      <c r="G188" s="49">
        <v>-2321</v>
      </c>
      <c r="H188" s="1" t="s">
        <v>14</v>
      </c>
      <c r="I188" s="1" t="s">
        <v>638</v>
      </c>
      <c r="J188" s="17">
        <v>46217</v>
      </c>
      <c r="K188" s="3">
        <v>46234</v>
      </c>
      <c r="L188" s="3" t="s">
        <v>716</v>
      </c>
      <c r="M188" s="30"/>
      <c r="N188" s="30"/>
    </row>
    <row r="189" spans="1:14">
      <c r="A189" s="1">
        <v>12710</v>
      </c>
      <c r="B189" s="1">
        <v>31216</v>
      </c>
      <c r="C189" s="94">
        <v>7792798009107</v>
      </c>
      <c r="D189" s="1" t="s">
        <v>640</v>
      </c>
      <c r="E189" s="95">
        <v>2150</v>
      </c>
      <c r="F189" s="49">
        <v>1075</v>
      </c>
      <c r="G189" s="49">
        <v>-1075</v>
      </c>
      <c r="H189" s="1" t="s">
        <v>14</v>
      </c>
      <c r="I189" s="1" t="s">
        <v>638</v>
      </c>
      <c r="J189" s="17">
        <v>46217</v>
      </c>
      <c r="K189" s="3">
        <v>46234</v>
      </c>
      <c r="L189" s="3" t="s">
        <v>716</v>
      </c>
      <c r="M189" s="30"/>
      <c r="N189" s="30"/>
    </row>
    <row r="190" spans="1:14">
      <c r="A190" s="1">
        <v>660742</v>
      </c>
      <c r="B190" s="1">
        <v>31558</v>
      </c>
      <c r="C190" s="94">
        <v>7792798010264</v>
      </c>
      <c r="D190" s="1" t="s">
        <v>641</v>
      </c>
      <c r="E190" s="95">
        <v>3052</v>
      </c>
      <c r="F190" s="49">
        <v>1526</v>
      </c>
      <c r="G190" s="49">
        <v>-1526</v>
      </c>
      <c r="H190" s="1" t="s">
        <v>14</v>
      </c>
      <c r="I190" s="1" t="s">
        <v>638</v>
      </c>
      <c r="J190" s="17">
        <v>46217</v>
      </c>
      <c r="K190" s="3">
        <v>46234</v>
      </c>
      <c r="L190" s="3" t="s">
        <v>716</v>
      </c>
      <c r="M190" s="30"/>
      <c r="N190" s="30"/>
    </row>
    <row r="191" spans="1:14">
      <c r="A191" s="1">
        <v>664332</v>
      </c>
      <c r="B191" s="1">
        <v>28318</v>
      </c>
      <c r="C191" s="94">
        <v>7792798013487</v>
      </c>
      <c r="D191" s="1" t="s">
        <v>642</v>
      </c>
      <c r="E191" s="95">
        <v>3375</v>
      </c>
      <c r="F191" s="49">
        <v>1687.5</v>
      </c>
      <c r="G191" s="49">
        <v>-1687.5</v>
      </c>
      <c r="H191" s="1" t="s">
        <v>14</v>
      </c>
      <c r="I191" s="1" t="s">
        <v>638</v>
      </c>
      <c r="J191" s="17">
        <v>46217</v>
      </c>
      <c r="K191" s="3">
        <v>46234</v>
      </c>
      <c r="L191" s="3" t="s">
        <v>716</v>
      </c>
      <c r="M191" s="30"/>
      <c r="N191" s="30"/>
    </row>
    <row r="192" spans="1:14">
      <c r="A192" s="1">
        <v>662496</v>
      </c>
      <c r="B192" s="1">
        <v>28699</v>
      </c>
      <c r="C192" s="94">
        <v>7792798010059</v>
      </c>
      <c r="D192" s="1" t="s">
        <v>643</v>
      </c>
      <c r="E192" s="95">
        <v>3395</v>
      </c>
      <c r="F192" s="49">
        <v>1697.5</v>
      </c>
      <c r="G192" s="49">
        <v>-1697.5</v>
      </c>
      <c r="H192" s="1" t="s">
        <v>14</v>
      </c>
      <c r="I192" s="1" t="s">
        <v>638</v>
      </c>
      <c r="J192" s="17">
        <v>46217</v>
      </c>
      <c r="K192" s="3">
        <v>46234</v>
      </c>
      <c r="L192" s="3" t="s">
        <v>716</v>
      </c>
      <c r="M192" s="30"/>
      <c r="N192" s="30"/>
    </row>
    <row r="193" spans="1:14">
      <c r="A193" s="1">
        <v>665438</v>
      </c>
      <c r="B193" s="1">
        <v>30895</v>
      </c>
      <c r="C193" s="94">
        <v>7891991305679</v>
      </c>
      <c r="D193" s="1" t="s">
        <v>644</v>
      </c>
      <c r="E193" s="95">
        <v>3596</v>
      </c>
      <c r="F193" s="49">
        <v>1798</v>
      </c>
      <c r="G193" s="49">
        <v>-1798</v>
      </c>
      <c r="H193" s="1" t="s">
        <v>14</v>
      </c>
      <c r="I193" s="1" t="s">
        <v>638</v>
      </c>
      <c r="J193" s="17">
        <v>46217</v>
      </c>
      <c r="K193" s="3">
        <v>46234</v>
      </c>
      <c r="L193" s="3" t="s">
        <v>716</v>
      </c>
      <c r="M193" s="30"/>
      <c r="N193" s="30"/>
    </row>
    <row r="194" spans="1:14">
      <c r="A194" s="89">
        <v>666525</v>
      </c>
      <c r="B194" s="50">
        <v>197237</v>
      </c>
      <c r="C194" s="89">
        <v>7799155001774</v>
      </c>
      <c r="D194" s="50" t="s">
        <v>1571</v>
      </c>
      <c r="E194" s="101">
        <v>1550</v>
      </c>
      <c r="F194" s="101">
        <v>1379.5</v>
      </c>
      <c r="G194" s="49">
        <v>-170.5</v>
      </c>
      <c r="H194" s="50" t="s">
        <v>17</v>
      </c>
      <c r="I194" s="50" t="s">
        <v>645</v>
      </c>
      <c r="J194" s="52">
        <v>46217</v>
      </c>
      <c r="K194" s="52">
        <v>46234</v>
      </c>
      <c r="L194" s="3" t="s">
        <v>716</v>
      </c>
      <c r="M194" s="30"/>
      <c r="N194" s="30"/>
    </row>
    <row r="195" spans="1:14">
      <c r="A195" s="89">
        <v>13270</v>
      </c>
      <c r="B195" s="50">
        <v>23168</v>
      </c>
      <c r="C195" s="89">
        <v>7793147571689</v>
      </c>
      <c r="D195" s="50" t="s">
        <v>1572</v>
      </c>
      <c r="E195" s="101">
        <v>2618.75</v>
      </c>
      <c r="F195" s="101">
        <f>+E195*0.8</f>
        <v>2095</v>
      </c>
      <c r="G195" s="96">
        <f t="shared" ref="G195:G213" si="18">+F195-E195</f>
        <v>-523.75</v>
      </c>
      <c r="H195" s="50" t="s">
        <v>17</v>
      </c>
      <c r="I195" s="50" t="s">
        <v>74</v>
      </c>
      <c r="J195" s="52">
        <v>46205</v>
      </c>
      <c r="K195" s="52">
        <v>46234</v>
      </c>
      <c r="L195" s="3" t="s">
        <v>716</v>
      </c>
      <c r="M195" s="30"/>
      <c r="N195" s="30"/>
    </row>
    <row r="196" spans="1:14">
      <c r="A196" s="89">
        <v>6329</v>
      </c>
      <c r="B196" s="50">
        <v>21542</v>
      </c>
      <c r="C196" s="89">
        <v>7793147009137</v>
      </c>
      <c r="D196" s="50" t="s">
        <v>1573</v>
      </c>
      <c r="E196" s="101">
        <v>4200</v>
      </c>
      <c r="F196" s="101">
        <f>+E196*0.8</f>
        <v>3360</v>
      </c>
      <c r="G196" s="96">
        <f t="shared" si="18"/>
        <v>-840</v>
      </c>
      <c r="H196" s="50" t="s">
        <v>17</v>
      </c>
      <c r="I196" s="50" t="s">
        <v>74</v>
      </c>
      <c r="J196" s="52">
        <v>46205</v>
      </c>
      <c r="K196" s="52">
        <v>46234</v>
      </c>
      <c r="L196" s="3" t="s">
        <v>716</v>
      </c>
      <c r="M196" s="30"/>
      <c r="N196" s="30"/>
    </row>
    <row r="197" spans="1:14">
      <c r="A197" s="89">
        <v>1547</v>
      </c>
      <c r="B197" s="50">
        <v>196776</v>
      </c>
      <c r="C197" s="89">
        <v>7790315000422</v>
      </c>
      <c r="D197" s="50" t="s">
        <v>1574</v>
      </c>
      <c r="E197" s="101">
        <v>3200</v>
      </c>
      <c r="F197" s="101">
        <v>2496</v>
      </c>
      <c r="G197" s="49">
        <v>-704</v>
      </c>
      <c r="H197" s="50" t="s">
        <v>17</v>
      </c>
      <c r="I197" s="50" t="s">
        <v>646</v>
      </c>
      <c r="J197" s="52">
        <v>46217</v>
      </c>
      <c r="K197" s="52">
        <v>46234</v>
      </c>
      <c r="L197" s="3" t="s">
        <v>716</v>
      </c>
      <c r="M197" s="30"/>
      <c r="N197" s="30"/>
    </row>
    <row r="198" spans="1:14">
      <c r="A198" s="89">
        <v>13261</v>
      </c>
      <c r="B198" s="50">
        <v>23163</v>
      </c>
      <c r="C198" s="89">
        <v>7793147118945</v>
      </c>
      <c r="D198" s="50" t="s">
        <v>1570</v>
      </c>
      <c r="E198" s="101">
        <v>2493.33</v>
      </c>
      <c r="F198" s="101">
        <f t="shared" ref="F198:F207" si="19">+E198*0.75</f>
        <v>1869.9974999999999</v>
      </c>
      <c r="G198" s="96">
        <f t="shared" si="18"/>
        <v>-623.33249999999998</v>
      </c>
      <c r="H198" s="50" t="s">
        <v>17</v>
      </c>
      <c r="I198" s="50" t="s">
        <v>23</v>
      </c>
      <c r="J198" s="52">
        <v>46205</v>
      </c>
      <c r="K198" s="52">
        <v>46234</v>
      </c>
      <c r="L198" s="3" t="s">
        <v>716</v>
      </c>
      <c r="M198" s="30"/>
      <c r="N198" s="30"/>
    </row>
    <row r="199" spans="1:14">
      <c r="A199" s="89">
        <v>666782</v>
      </c>
      <c r="B199" s="50">
        <v>23382</v>
      </c>
      <c r="C199" s="89">
        <v>7793147574222</v>
      </c>
      <c r="D199" s="50" t="s">
        <v>1575</v>
      </c>
      <c r="E199" s="101">
        <v>2906.66</v>
      </c>
      <c r="F199" s="101">
        <f t="shared" si="19"/>
        <v>2179.9949999999999</v>
      </c>
      <c r="G199" s="96">
        <f t="shared" si="18"/>
        <v>-726.66499999999996</v>
      </c>
      <c r="H199" s="50" t="s">
        <v>17</v>
      </c>
      <c r="I199" s="50" t="s">
        <v>23</v>
      </c>
      <c r="J199" s="52">
        <v>46205</v>
      </c>
      <c r="K199" s="52">
        <v>46234</v>
      </c>
      <c r="L199" s="3" t="s">
        <v>716</v>
      </c>
      <c r="M199" s="30"/>
      <c r="N199" s="30"/>
    </row>
    <row r="200" spans="1:14">
      <c r="A200" s="89">
        <v>666224</v>
      </c>
      <c r="B200" s="50">
        <v>23371</v>
      </c>
      <c r="C200" s="89">
        <v>7793147574093</v>
      </c>
      <c r="D200" s="50" t="s">
        <v>1576</v>
      </c>
      <c r="E200" s="101">
        <v>3379.998</v>
      </c>
      <c r="F200" s="101">
        <f t="shared" si="19"/>
        <v>2534.9985000000001</v>
      </c>
      <c r="G200" s="96">
        <f t="shared" si="18"/>
        <v>-844.9994999999999</v>
      </c>
      <c r="H200" s="50" t="s">
        <v>17</v>
      </c>
      <c r="I200" s="50" t="s">
        <v>23</v>
      </c>
      <c r="J200" s="52">
        <v>46205</v>
      </c>
      <c r="K200" s="52">
        <v>46234</v>
      </c>
      <c r="L200" s="3" t="s">
        <v>716</v>
      </c>
      <c r="M200" s="30"/>
      <c r="N200" s="30"/>
    </row>
    <row r="201" spans="1:14">
      <c r="A201" s="89">
        <v>663782</v>
      </c>
      <c r="B201" s="50">
        <v>23271</v>
      </c>
      <c r="C201" s="89">
        <v>7802100003270</v>
      </c>
      <c r="D201" s="50" t="s">
        <v>1577</v>
      </c>
      <c r="E201" s="101">
        <v>3273.33</v>
      </c>
      <c r="F201" s="101">
        <f t="shared" si="19"/>
        <v>2454.9974999999999</v>
      </c>
      <c r="G201" s="96">
        <f t="shared" si="18"/>
        <v>-818.33249999999998</v>
      </c>
      <c r="H201" s="50" t="s">
        <v>17</v>
      </c>
      <c r="I201" s="50" t="s">
        <v>23</v>
      </c>
      <c r="J201" s="52">
        <v>46205</v>
      </c>
      <c r="K201" s="52">
        <v>46234</v>
      </c>
      <c r="L201" s="3" t="s">
        <v>716</v>
      </c>
      <c r="M201" s="30"/>
      <c r="N201" s="30"/>
    </row>
    <row r="202" spans="1:14">
      <c r="A202" s="89">
        <v>666602</v>
      </c>
      <c r="B202" s="50">
        <v>197236</v>
      </c>
      <c r="C202" s="89">
        <v>7799155001750</v>
      </c>
      <c r="D202" s="50" t="s">
        <v>1578</v>
      </c>
      <c r="E202" s="102">
        <v>1800</v>
      </c>
      <c r="F202" s="102">
        <f t="shared" si="19"/>
        <v>1350</v>
      </c>
      <c r="G202" s="103">
        <f t="shared" si="18"/>
        <v>-450</v>
      </c>
      <c r="H202" s="50" t="s">
        <v>17</v>
      </c>
      <c r="I202" s="50" t="s">
        <v>23</v>
      </c>
      <c r="J202" s="52">
        <v>46217</v>
      </c>
      <c r="K202" s="52">
        <v>46234</v>
      </c>
      <c r="L202" s="3" t="s">
        <v>716</v>
      </c>
      <c r="M202" s="30"/>
      <c r="N202" s="30"/>
    </row>
    <row r="203" spans="1:14">
      <c r="A203" s="89">
        <v>666601</v>
      </c>
      <c r="B203" s="50">
        <v>197235</v>
      </c>
      <c r="C203" s="89">
        <v>7799155001767</v>
      </c>
      <c r="D203" s="50" t="s">
        <v>1579</v>
      </c>
      <c r="E203" s="102">
        <v>1800</v>
      </c>
      <c r="F203" s="102">
        <f t="shared" si="19"/>
        <v>1350</v>
      </c>
      <c r="G203" s="103">
        <f t="shared" si="18"/>
        <v>-450</v>
      </c>
      <c r="H203" s="50" t="s">
        <v>17</v>
      </c>
      <c r="I203" s="50" t="s">
        <v>23</v>
      </c>
      <c r="J203" s="52">
        <v>46217</v>
      </c>
      <c r="K203" s="52">
        <v>46234</v>
      </c>
      <c r="L203" s="3" t="s">
        <v>716</v>
      </c>
      <c r="M203" s="30"/>
      <c r="N203" s="30"/>
    </row>
    <row r="204" spans="1:14">
      <c r="A204" s="89">
        <v>101648</v>
      </c>
      <c r="B204" s="50">
        <v>23301</v>
      </c>
      <c r="C204" s="89">
        <v>7793147570231</v>
      </c>
      <c r="D204" s="50" t="s">
        <v>1580</v>
      </c>
      <c r="E204" s="101">
        <v>3813.33</v>
      </c>
      <c r="F204" s="101">
        <f t="shared" si="19"/>
        <v>2859.9974999999999</v>
      </c>
      <c r="G204" s="96">
        <f t="shared" si="18"/>
        <v>-953.33249999999998</v>
      </c>
      <c r="H204" s="50" t="s">
        <v>17</v>
      </c>
      <c r="I204" s="50" t="s">
        <v>23</v>
      </c>
      <c r="J204" s="52">
        <v>46205</v>
      </c>
      <c r="K204" s="52">
        <v>46234</v>
      </c>
      <c r="L204" s="3" t="s">
        <v>716</v>
      </c>
      <c r="M204" s="30"/>
      <c r="N204" s="30"/>
    </row>
    <row r="205" spans="1:14">
      <c r="A205" s="89">
        <v>666600</v>
      </c>
      <c r="B205" s="50">
        <v>197234</v>
      </c>
      <c r="C205" s="89">
        <v>7799155001743</v>
      </c>
      <c r="D205" s="50" t="s">
        <v>1581</v>
      </c>
      <c r="E205" s="101">
        <v>1800</v>
      </c>
      <c r="F205" s="101">
        <v>1350</v>
      </c>
      <c r="G205" s="49">
        <v>-450</v>
      </c>
      <c r="H205" s="50" t="s">
        <v>17</v>
      </c>
      <c r="I205" s="50" t="s">
        <v>23</v>
      </c>
      <c r="J205" s="52">
        <v>46217</v>
      </c>
      <c r="K205" s="52">
        <v>46234</v>
      </c>
      <c r="L205" s="3" t="s">
        <v>716</v>
      </c>
      <c r="M205" s="30"/>
      <c r="N205" s="30"/>
    </row>
    <row r="206" spans="1:14">
      <c r="A206" s="89">
        <v>9844</v>
      </c>
      <c r="B206" s="50">
        <v>23009</v>
      </c>
      <c r="C206" s="89">
        <v>7795697000213</v>
      </c>
      <c r="D206" s="50" t="s">
        <v>1582</v>
      </c>
      <c r="E206" s="101">
        <v>3933.33</v>
      </c>
      <c r="F206" s="101">
        <f t="shared" si="19"/>
        <v>2949.9974999999999</v>
      </c>
      <c r="G206" s="96">
        <f t="shared" si="18"/>
        <v>-983.33249999999998</v>
      </c>
      <c r="H206" s="50" t="s">
        <v>17</v>
      </c>
      <c r="I206" s="50" t="s">
        <v>23</v>
      </c>
      <c r="J206" s="52">
        <v>46205</v>
      </c>
      <c r="K206" s="52">
        <v>46234</v>
      </c>
      <c r="L206" s="3" t="s">
        <v>716</v>
      </c>
      <c r="M206" s="30"/>
      <c r="N206" s="30"/>
    </row>
    <row r="207" spans="1:14">
      <c r="A207" s="89">
        <v>879</v>
      </c>
      <c r="B207" s="50">
        <v>22594</v>
      </c>
      <c r="C207" s="89">
        <v>7795697612133</v>
      </c>
      <c r="D207" s="50" t="s">
        <v>1583</v>
      </c>
      <c r="E207" s="101">
        <v>3486.67</v>
      </c>
      <c r="F207" s="101">
        <f t="shared" si="19"/>
        <v>2615.0025000000001</v>
      </c>
      <c r="G207" s="96">
        <f t="shared" si="18"/>
        <v>-871.66750000000002</v>
      </c>
      <c r="H207" s="50" t="s">
        <v>17</v>
      </c>
      <c r="I207" s="50" t="s">
        <v>23</v>
      </c>
      <c r="J207" s="52">
        <v>46205</v>
      </c>
      <c r="K207" s="52">
        <v>46234</v>
      </c>
      <c r="L207" s="3" t="s">
        <v>716</v>
      </c>
      <c r="M207" s="30"/>
      <c r="N207" s="30"/>
    </row>
    <row r="208" spans="1:14">
      <c r="A208" s="89">
        <v>666599</v>
      </c>
      <c r="B208" s="50">
        <v>23374</v>
      </c>
      <c r="C208" s="89">
        <v>7793147574130</v>
      </c>
      <c r="D208" s="50" t="s">
        <v>1584</v>
      </c>
      <c r="E208" s="101">
        <v>2295.7800000000002</v>
      </c>
      <c r="F208" s="101">
        <f>+E208*0.71</f>
        <v>1630.0038</v>
      </c>
      <c r="G208" s="96">
        <f t="shared" si="18"/>
        <v>-665.77620000000024</v>
      </c>
      <c r="H208" s="50" t="s">
        <v>17</v>
      </c>
      <c r="I208" s="50" t="s">
        <v>647</v>
      </c>
      <c r="J208" s="52">
        <v>46205</v>
      </c>
      <c r="K208" s="52">
        <v>46234</v>
      </c>
      <c r="L208" s="3" t="s">
        <v>716</v>
      </c>
      <c r="M208" s="30"/>
      <c r="N208" s="30"/>
    </row>
    <row r="209" spans="1:14">
      <c r="A209" s="89">
        <v>3399</v>
      </c>
      <c r="B209" s="50">
        <v>23150</v>
      </c>
      <c r="C209" s="89">
        <v>7793147572044</v>
      </c>
      <c r="D209" s="50" t="s">
        <v>1585</v>
      </c>
      <c r="E209" s="101">
        <v>2742.86</v>
      </c>
      <c r="F209" s="101">
        <f>+E209*0.7</f>
        <v>1920.002</v>
      </c>
      <c r="G209" s="96">
        <f t="shared" si="18"/>
        <v>-822.85800000000017</v>
      </c>
      <c r="H209" s="50" t="s">
        <v>17</v>
      </c>
      <c r="I209" s="50" t="s">
        <v>93</v>
      </c>
      <c r="J209" s="52">
        <v>46205</v>
      </c>
      <c r="K209" s="52">
        <v>46234</v>
      </c>
      <c r="L209" s="3" t="s">
        <v>716</v>
      </c>
      <c r="M209" s="30"/>
      <c r="N209" s="30"/>
    </row>
    <row r="210" spans="1:14">
      <c r="A210" s="89">
        <v>3814</v>
      </c>
      <c r="B210" s="50">
        <v>195141</v>
      </c>
      <c r="C210" s="89">
        <v>7798062548914</v>
      </c>
      <c r="D210" s="50" t="s">
        <v>1586</v>
      </c>
      <c r="E210" s="101">
        <v>5300</v>
      </c>
      <c r="F210" s="101">
        <v>3709.9999999999995</v>
      </c>
      <c r="G210" s="49">
        <v>-1590.0000000000005</v>
      </c>
      <c r="H210" s="50" t="s">
        <v>17</v>
      </c>
      <c r="I210" s="50" t="s">
        <v>93</v>
      </c>
      <c r="J210" s="52">
        <v>46217</v>
      </c>
      <c r="K210" s="52">
        <v>46234</v>
      </c>
      <c r="L210" s="3" t="s">
        <v>716</v>
      </c>
      <c r="M210" s="30"/>
      <c r="N210" s="30"/>
    </row>
    <row r="211" spans="1:14">
      <c r="A211" s="90">
        <v>4669</v>
      </c>
      <c r="B211" s="91">
        <v>21102</v>
      </c>
      <c r="C211" s="90">
        <v>7793147001025</v>
      </c>
      <c r="D211" s="91" t="s">
        <v>1587</v>
      </c>
      <c r="E211" s="102">
        <v>4580</v>
      </c>
      <c r="F211" s="102">
        <f>+E211*0.7</f>
        <v>3206</v>
      </c>
      <c r="G211" s="96">
        <f t="shared" si="18"/>
        <v>-1374</v>
      </c>
      <c r="H211" s="91" t="s">
        <v>17</v>
      </c>
      <c r="I211" s="91" t="s">
        <v>93</v>
      </c>
      <c r="J211" s="92">
        <v>46205</v>
      </c>
      <c r="K211" s="92">
        <v>46234</v>
      </c>
      <c r="L211" s="48" t="s">
        <v>1334</v>
      </c>
      <c r="M211" s="30"/>
      <c r="N211" s="30"/>
    </row>
    <row r="212" spans="1:14">
      <c r="A212" s="90">
        <v>101646</v>
      </c>
      <c r="B212" s="91">
        <v>22216</v>
      </c>
      <c r="C212" s="90">
        <v>7795697431345</v>
      </c>
      <c r="D212" s="91" t="s">
        <v>1588</v>
      </c>
      <c r="E212" s="102">
        <v>5762.82</v>
      </c>
      <c r="F212" s="102">
        <f>+E212*0.78</f>
        <v>4494.9996000000001</v>
      </c>
      <c r="G212" s="96">
        <f>+F212-E212</f>
        <v>-1267.8203999999996</v>
      </c>
      <c r="H212" s="91" t="s">
        <v>17</v>
      </c>
      <c r="I212" s="91" t="s">
        <v>646</v>
      </c>
      <c r="J212" s="92">
        <v>46205</v>
      </c>
      <c r="K212" s="92">
        <v>46234</v>
      </c>
      <c r="L212" s="48" t="s">
        <v>1334</v>
      </c>
      <c r="M212" s="30"/>
      <c r="N212" s="30"/>
    </row>
    <row r="213" spans="1:14">
      <c r="A213" s="89">
        <v>665641</v>
      </c>
      <c r="B213" s="50">
        <v>23363</v>
      </c>
      <c r="C213" s="89">
        <v>7793147574109</v>
      </c>
      <c r="D213" s="50" t="s">
        <v>1589</v>
      </c>
      <c r="E213" s="101">
        <v>3550.72</v>
      </c>
      <c r="F213" s="101">
        <f>+E213*0.69</f>
        <v>2449.9967999999999</v>
      </c>
      <c r="G213" s="96">
        <f t="shared" si="18"/>
        <v>-1100.7231999999999</v>
      </c>
      <c r="H213" s="50" t="s">
        <v>17</v>
      </c>
      <c r="I213" s="50" t="s">
        <v>648</v>
      </c>
      <c r="J213" s="52">
        <v>46205</v>
      </c>
      <c r="K213" s="52">
        <v>46234</v>
      </c>
      <c r="L213" s="3" t="s">
        <v>716</v>
      </c>
      <c r="M213" s="30"/>
      <c r="N213" s="30"/>
    </row>
    <row r="214" spans="1:14">
      <c r="A214" s="89">
        <v>665566</v>
      </c>
      <c r="B214" s="50">
        <v>197203</v>
      </c>
      <c r="C214" s="89">
        <v>7799155001408</v>
      </c>
      <c r="D214" s="50" t="s">
        <v>1590</v>
      </c>
      <c r="E214" s="101">
        <v>3550</v>
      </c>
      <c r="F214" s="101">
        <v>2023.4999999999998</v>
      </c>
      <c r="G214" s="49">
        <v>-1526.5000000000002</v>
      </c>
      <c r="H214" s="50" t="s">
        <v>17</v>
      </c>
      <c r="I214" s="50" t="s">
        <v>649</v>
      </c>
      <c r="J214" s="52">
        <v>46217</v>
      </c>
      <c r="K214" s="52">
        <v>46234</v>
      </c>
      <c r="L214" s="3" t="s">
        <v>716</v>
      </c>
      <c r="M214" s="30"/>
      <c r="N214" s="30"/>
    </row>
    <row r="215" spans="1:14">
      <c r="A215" s="89">
        <v>11144</v>
      </c>
      <c r="B215" s="50">
        <v>132670</v>
      </c>
      <c r="C215" s="89">
        <v>7798062540284</v>
      </c>
      <c r="D215" s="50" t="s">
        <v>1591</v>
      </c>
      <c r="E215" s="101">
        <v>3550</v>
      </c>
      <c r="F215" s="101">
        <v>1952.5000000000002</v>
      </c>
      <c r="G215" s="49">
        <v>-1597.4999999999998</v>
      </c>
      <c r="H215" s="50" t="s">
        <v>17</v>
      </c>
      <c r="I215" s="50" t="s">
        <v>650</v>
      </c>
      <c r="J215" s="52">
        <v>46217</v>
      </c>
      <c r="K215" s="52">
        <v>46234</v>
      </c>
      <c r="L215" s="3" t="s">
        <v>716</v>
      </c>
      <c r="M215" s="30"/>
      <c r="N215" s="30"/>
    </row>
    <row r="216" spans="1:14">
      <c r="A216" s="1">
        <v>8239</v>
      </c>
      <c r="B216" s="1">
        <v>623</v>
      </c>
      <c r="C216" s="94">
        <v>7790895067532</v>
      </c>
      <c r="D216" s="1" t="s">
        <v>653</v>
      </c>
      <c r="E216" s="95">
        <v>1900.0709999999999</v>
      </c>
      <c r="F216" s="49">
        <v>1266.7139999999999</v>
      </c>
      <c r="G216" s="96">
        <v>-633.35699999999997</v>
      </c>
      <c r="H216" s="1" t="s">
        <v>654</v>
      </c>
      <c r="I216" s="1" t="s">
        <v>655</v>
      </c>
      <c r="J216" s="17">
        <v>46205</v>
      </c>
      <c r="K216" s="3">
        <v>46234</v>
      </c>
      <c r="L216" s="3" t="s">
        <v>716</v>
      </c>
      <c r="M216" s="30"/>
      <c r="N216" s="30"/>
    </row>
    <row r="217" spans="1:14">
      <c r="A217" s="1">
        <v>1190</v>
      </c>
      <c r="B217" s="1">
        <v>120</v>
      </c>
      <c r="C217" s="94">
        <v>7790895000782</v>
      </c>
      <c r="D217" s="1" t="s">
        <v>656</v>
      </c>
      <c r="E217" s="95">
        <v>1900.0709999999999</v>
      </c>
      <c r="F217" s="49">
        <v>1266.7139999999999</v>
      </c>
      <c r="G217" s="96">
        <v>-633.35699999999997</v>
      </c>
      <c r="H217" s="1" t="s">
        <v>654</v>
      </c>
      <c r="I217" s="1" t="s">
        <v>655</v>
      </c>
      <c r="J217" s="17">
        <v>46205</v>
      </c>
      <c r="K217" s="3">
        <v>46234</v>
      </c>
      <c r="L217" s="3" t="s">
        <v>716</v>
      </c>
      <c r="M217" s="30"/>
      <c r="N217" s="30"/>
    </row>
    <row r="218" spans="1:14">
      <c r="A218" s="1">
        <v>8426</v>
      </c>
      <c r="B218" s="1">
        <v>1110</v>
      </c>
      <c r="C218" s="94">
        <v>7790895000836</v>
      </c>
      <c r="D218" s="1" t="s">
        <v>657</v>
      </c>
      <c r="E218" s="95">
        <v>1600.06</v>
      </c>
      <c r="F218" s="49">
        <v>1066.7066666666667</v>
      </c>
      <c r="G218" s="96">
        <v>-533.35333333333324</v>
      </c>
      <c r="H218" s="1" t="s">
        <v>654</v>
      </c>
      <c r="I218" s="1" t="s">
        <v>655</v>
      </c>
      <c r="J218" s="17">
        <v>46205</v>
      </c>
      <c r="K218" s="3">
        <v>46234</v>
      </c>
      <c r="L218" s="3" t="s">
        <v>716</v>
      </c>
      <c r="M218" s="30"/>
      <c r="N218" s="30"/>
    </row>
    <row r="219" spans="1:14">
      <c r="A219" s="1">
        <v>1217</v>
      </c>
      <c r="B219" s="1">
        <v>2408</v>
      </c>
      <c r="C219" s="94">
        <v>7790895000829</v>
      </c>
      <c r="D219" s="1" t="s">
        <v>658</v>
      </c>
      <c r="E219" s="95">
        <v>1650.047</v>
      </c>
      <c r="F219" s="49">
        <v>1100.0313333333334</v>
      </c>
      <c r="G219" s="96">
        <v>-550.01566666666668</v>
      </c>
      <c r="H219" s="1" t="s">
        <v>654</v>
      </c>
      <c r="I219" s="1" t="s">
        <v>655</v>
      </c>
      <c r="J219" s="17">
        <v>46205</v>
      </c>
      <c r="K219" s="3">
        <v>46234</v>
      </c>
      <c r="L219" s="3" t="s">
        <v>716</v>
      </c>
      <c r="M219" s="30"/>
      <c r="N219" s="30"/>
    </row>
    <row r="220" spans="1:14">
      <c r="A220" s="1">
        <v>1192</v>
      </c>
      <c r="B220" s="1">
        <v>326</v>
      </c>
      <c r="C220" s="94">
        <v>7790895000430</v>
      </c>
      <c r="D220" s="1" t="s">
        <v>659</v>
      </c>
      <c r="E220" s="95">
        <v>3800.1410000000001</v>
      </c>
      <c r="F220" s="49">
        <v>3230.11985</v>
      </c>
      <c r="G220" s="96">
        <v>-570.02115000000003</v>
      </c>
      <c r="H220" s="1" t="s">
        <v>17</v>
      </c>
      <c r="I220" s="1" t="s">
        <v>69</v>
      </c>
      <c r="J220" s="17">
        <v>46205</v>
      </c>
      <c r="K220" s="3">
        <v>46234</v>
      </c>
      <c r="L220" s="3" t="s">
        <v>716</v>
      </c>
      <c r="M220" s="30"/>
      <c r="N220" s="30"/>
    </row>
    <row r="221" spans="1:14">
      <c r="A221" s="1">
        <v>1203</v>
      </c>
      <c r="B221" s="1">
        <v>1190</v>
      </c>
      <c r="C221" s="94">
        <v>7790895000454</v>
      </c>
      <c r="D221" s="1" t="s">
        <v>660</v>
      </c>
      <c r="E221" s="95">
        <v>3800.1410000000001</v>
      </c>
      <c r="F221" s="49">
        <v>2850.1057500000002</v>
      </c>
      <c r="G221" s="96">
        <v>-950.03524999999991</v>
      </c>
      <c r="H221" s="1" t="s">
        <v>17</v>
      </c>
      <c r="I221" s="1" t="s">
        <v>23</v>
      </c>
      <c r="J221" s="17">
        <v>46205</v>
      </c>
      <c r="K221" s="3">
        <v>46234</v>
      </c>
      <c r="L221" s="3" t="s">
        <v>716</v>
      </c>
      <c r="M221" s="30"/>
      <c r="N221" s="30"/>
    </row>
    <row r="222" spans="1:14">
      <c r="A222" s="1">
        <v>1803</v>
      </c>
      <c r="B222" s="1">
        <v>1650</v>
      </c>
      <c r="C222" s="94">
        <v>7790895002304</v>
      </c>
      <c r="D222" s="1" t="s">
        <v>661</v>
      </c>
      <c r="E222" s="95">
        <v>3800.1410000000001</v>
      </c>
      <c r="F222" s="49">
        <v>2850.1057500000002</v>
      </c>
      <c r="G222" s="96">
        <v>-950.03524999999991</v>
      </c>
      <c r="H222" s="1" t="s">
        <v>17</v>
      </c>
      <c r="I222" s="1" t="s">
        <v>23</v>
      </c>
      <c r="J222" s="17">
        <v>46205</v>
      </c>
      <c r="K222" s="3">
        <v>46234</v>
      </c>
      <c r="L222" s="3" t="s">
        <v>716</v>
      </c>
      <c r="M222" s="30"/>
      <c r="N222" s="30"/>
    </row>
    <row r="223" spans="1:14">
      <c r="A223" s="1">
        <v>666793</v>
      </c>
      <c r="B223" s="1">
        <v>3021</v>
      </c>
      <c r="C223" s="94">
        <v>7790895010088</v>
      </c>
      <c r="D223" s="1" t="s">
        <v>662</v>
      </c>
      <c r="E223" s="95">
        <v>3500.9279999999999</v>
      </c>
      <c r="F223" s="49">
        <v>2625.6959999999999</v>
      </c>
      <c r="G223" s="96">
        <v>-875.23199999999997</v>
      </c>
      <c r="H223" s="1" t="s">
        <v>17</v>
      </c>
      <c r="I223" s="1" t="s">
        <v>23</v>
      </c>
      <c r="J223" s="17">
        <v>46205</v>
      </c>
      <c r="K223" s="3">
        <v>46234</v>
      </c>
      <c r="L223" s="3" t="s">
        <v>716</v>
      </c>
      <c r="M223" s="30"/>
      <c r="N223" s="30"/>
    </row>
    <row r="224" spans="1:14">
      <c r="A224" s="1">
        <v>5747</v>
      </c>
      <c r="B224" s="1">
        <v>3151</v>
      </c>
      <c r="C224" s="94">
        <v>7790895006715</v>
      </c>
      <c r="D224" s="1" t="s">
        <v>663</v>
      </c>
      <c r="E224" s="95">
        <v>3503.09</v>
      </c>
      <c r="F224" s="49">
        <v>2627.3175000000001</v>
      </c>
      <c r="G224" s="96">
        <v>-875.77250000000004</v>
      </c>
      <c r="H224" s="1" t="s">
        <v>17</v>
      </c>
      <c r="I224" s="1" t="s">
        <v>23</v>
      </c>
      <c r="J224" s="17">
        <v>46205</v>
      </c>
      <c r="K224" s="3">
        <v>46234</v>
      </c>
      <c r="L224" s="3" t="s">
        <v>716</v>
      </c>
      <c r="M224" s="30"/>
      <c r="N224" s="30"/>
    </row>
    <row r="225" spans="1:14">
      <c r="A225" s="1">
        <v>1213</v>
      </c>
      <c r="B225" s="1">
        <v>2421</v>
      </c>
      <c r="C225" s="94">
        <v>7790895000447</v>
      </c>
      <c r="D225" s="1" t="s">
        <v>664</v>
      </c>
      <c r="E225" s="95">
        <v>3800.1039999999998</v>
      </c>
      <c r="F225" s="49">
        <v>2850.078</v>
      </c>
      <c r="G225" s="96">
        <v>-950.02599999999984</v>
      </c>
      <c r="H225" s="1" t="s">
        <v>17</v>
      </c>
      <c r="I225" s="1" t="s">
        <v>23</v>
      </c>
      <c r="J225" s="17">
        <v>46205</v>
      </c>
      <c r="K225" s="3">
        <v>46234</v>
      </c>
      <c r="L225" s="3" t="s">
        <v>716</v>
      </c>
      <c r="M225" s="30"/>
      <c r="N225" s="30"/>
    </row>
    <row r="226" spans="1:14">
      <c r="A226" s="1">
        <v>1222</v>
      </c>
      <c r="B226" s="1">
        <v>2491</v>
      </c>
      <c r="C226" s="94">
        <v>7790895064173</v>
      </c>
      <c r="D226" s="1" t="s">
        <v>665</v>
      </c>
      <c r="E226" s="95">
        <v>3800.1039999999998</v>
      </c>
      <c r="F226" s="49">
        <v>2850.078</v>
      </c>
      <c r="G226" s="96">
        <v>-950.02599999999984</v>
      </c>
      <c r="H226" s="1" t="s">
        <v>17</v>
      </c>
      <c r="I226" s="1" t="s">
        <v>23</v>
      </c>
      <c r="J226" s="17">
        <v>46205</v>
      </c>
      <c r="K226" s="3">
        <v>46234</v>
      </c>
      <c r="L226" s="3" t="s">
        <v>716</v>
      </c>
      <c r="M226" s="30"/>
      <c r="N226" s="30"/>
    </row>
    <row r="227" spans="1:14">
      <c r="A227" s="1">
        <v>7501</v>
      </c>
      <c r="B227" s="1">
        <v>652</v>
      </c>
      <c r="C227" s="94">
        <v>7790895067556</v>
      </c>
      <c r="D227" s="1" t="s">
        <v>666</v>
      </c>
      <c r="E227" s="95">
        <v>3800.1410000000001</v>
      </c>
      <c r="F227" s="49">
        <v>2850.1057500000002</v>
      </c>
      <c r="G227" s="96">
        <v>-950.03524999999991</v>
      </c>
      <c r="H227" s="1" t="s">
        <v>17</v>
      </c>
      <c r="I227" s="1" t="s">
        <v>23</v>
      </c>
      <c r="J227" s="17">
        <v>46205</v>
      </c>
      <c r="K227" s="3">
        <v>46234</v>
      </c>
      <c r="L227" s="3" t="s">
        <v>716</v>
      </c>
      <c r="M227" s="30"/>
      <c r="N227" s="30"/>
    </row>
    <row r="228" spans="1:14">
      <c r="A228" s="1">
        <v>5269</v>
      </c>
      <c r="B228" s="1">
        <v>2683</v>
      </c>
      <c r="C228" s="94">
        <v>7790895647789</v>
      </c>
      <c r="D228" s="1" t="s">
        <v>667</v>
      </c>
      <c r="E228" s="95">
        <v>5652.3180000000002</v>
      </c>
      <c r="F228" s="49">
        <v>3956.6225999999997</v>
      </c>
      <c r="G228" s="96">
        <v>-1695.6954000000005</v>
      </c>
      <c r="H228" s="1" t="s">
        <v>17</v>
      </c>
      <c r="I228" s="1" t="s">
        <v>93</v>
      </c>
      <c r="J228" s="17">
        <v>46205</v>
      </c>
      <c r="K228" s="3">
        <v>46234</v>
      </c>
      <c r="L228" s="3" t="s">
        <v>716</v>
      </c>
      <c r="M228" s="30"/>
      <c r="N228" s="30"/>
    </row>
    <row r="229" spans="1:14">
      <c r="A229" s="1">
        <v>1225</v>
      </c>
      <c r="B229" s="1">
        <v>2782</v>
      </c>
      <c r="C229" s="94">
        <v>7790895647796</v>
      </c>
      <c r="D229" s="1" t="s">
        <v>668</v>
      </c>
      <c r="E229" s="95">
        <v>2200.0039999999999</v>
      </c>
      <c r="F229" s="49">
        <v>1499</v>
      </c>
      <c r="G229" s="96">
        <v>-701.00399999999991</v>
      </c>
      <c r="H229" s="1" t="s">
        <v>17</v>
      </c>
      <c r="I229" s="1" t="s">
        <v>669</v>
      </c>
      <c r="J229" s="17">
        <v>46205</v>
      </c>
      <c r="K229" s="3">
        <v>46234</v>
      </c>
      <c r="L229" s="3" t="s">
        <v>716</v>
      </c>
      <c r="M229" s="30"/>
      <c r="N229" s="30"/>
    </row>
    <row r="230" spans="1:14">
      <c r="A230" s="1">
        <v>10514</v>
      </c>
      <c r="B230" s="1">
        <v>2681</v>
      </c>
      <c r="C230" s="94">
        <v>7790895647741</v>
      </c>
      <c r="D230" s="1" t="s">
        <v>670</v>
      </c>
      <c r="E230" s="95">
        <v>1602.684</v>
      </c>
      <c r="F230" s="49">
        <v>1041.7446</v>
      </c>
      <c r="G230" s="96">
        <v>-560.93939999999998</v>
      </c>
      <c r="H230" s="1" t="s">
        <v>14</v>
      </c>
      <c r="I230" s="1" t="s">
        <v>15</v>
      </c>
      <c r="J230" s="17">
        <v>46205</v>
      </c>
      <c r="K230" s="3">
        <v>46234</v>
      </c>
      <c r="L230" s="3" t="s">
        <v>716</v>
      </c>
      <c r="M230" s="30"/>
      <c r="N230" s="30"/>
    </row>
    <row r="231" spans="1:14">
      <c r="A231" s="1">
        <v>658184</v>
      </c>
      <c r="B231" s="1">
        <v>2781</v>
      </c>
      <c r="C231" s="94">
        <v>7790895647758</v>
      </c>
      <c r="D231" s="1" t="s">
        <v>671</v>
      </c>
      <c r="E231" s="95">
        <v>1602.8230000000001</v>
      </c>
      <c r="F231" s="49">
        <v>1041.8349500000002</v>
      </c>
      <c r="G231" s="96">
        <v>-560.98804999999993</v>
      </c>
      <c r="H231" s="1" t="s">
        <v>14</v>
      </c>
      <c r="I231" s="1" t="s">
        <v>15</v>
      </c>
      <c r="J231" s="17">
        <v>46205</v>
      </c>
      <c r="K231" s="3">
        <v>46234</v>
      </c>
      <c r="L231" s="3" t="s">
        <v>716</v>
      </c>
      <c r="M231" s="30"/>
      <c r="N231" s="30"/>
    </row>
    <row r="232" spans="1:14">
      <c r="A232" s="1">
        <v>4063</v>
      </c>
      <c r="B232" s="1">
        <v>4209</v>
      </c>
      <c r="C232" s="94">
        <v>7790895641213</v>
      </c>
      <c r="D232" s="1" t="s">
        <v>672</v>
      </c>
      <c r="E232" s="95">
        <v>1700.04</v>
      </c>
      <c r="F232" s="49">
        <v>1105.0260000000001</v>
      </c>
      <c r="G232" s="96">
        <v>-595.0139999999999</v>
      </c>
      <c r="H232" s="1" t="s">
        <v>14</v>
      </c>
      <c r="I232" s="1" t="s">
        <v>15</v>
      </c>
      <c r="J232" s="17">
        <v>46205</v>
      </c>
      <c r="K232" s="3">
        <v>46234</v>
      </c>
      <c r="L232" s="3" t="s">
        <v>716</v>
      </c>
      <c r="M232" s="30"/>
      <c r="N232" s="30"/>
    </row>
    <row r="233" spans="1:14">
      <c r="A233" s="1">
        <v>804006</v>
      </c>
      <c r="B233" s="1">
        <v>4213</v>
      </c>
      <c r="C233" s="94">
        <v>7790895004032</v>
      </c>
      <c r="D233" s="1" t="s">
        <v>673</v>
      </c>
      <c r="E233" s="95">
        <v>1700.04</v>
      </c>
      <c r="F233" s="49">
        <v>1105.0260000000001</v>
      </c>
      <c r="G233" s="96">
        <v>-595.0139999999999</v>
      </c>
      <c r="H233" s="1" t="s">
        <v>14</v>
      </c>
      <c r="I233" s="1" t="s">
        <v>15</v>
      </c>
      <c r="J233" s="17">
        <v>46205</v>
      </c>
      <c r="K233" s="3">
        <v>46234</v>
      </c>
      <c r="L233" s="3" t="s">
        <v>716</v>
      </c>
      <c r="M233" s="30"/>
      <c r="N233" s="30"/>
    </row>
    <row r="234" spans="1:14">
      <c r="A234" s="1">
        <v>12614</v>
      </c>
      <c r="B234" s="1">
        <v>4215</v>
      </c>
      <c r="C234" s="94">
        <v>7790895640445</v>
      </c>
      <c r="D234" s="1" t="s">
        <v>674</v>
      </c>
      <c r="E234" s="95">
        <v>1700.04</v>
      </c>
      <c r="F234" s="49">
        <v>1105.0260000000001</v>
      </c>
      <c r="G234" s="96">
        <v>-595.0139999999999</v>
      </c>
      <c r="H234" s="1" t="s">
        <v>14</v>
      </c>
      <c r="I234" s="1" t="s">
        <v>15</v>
      </c>
      <c r="J234" s="17">
        <v>46205</v>
      </c>
      <c r="K234" s="3">
        <v>46234</v>
      </c>
      <c r="L234" s="3" t="s">
        <v>716</v>
      </c>
      <c r="M234" s="30"/>
      <c r="N234" s="30"/>
    </row>
    <row r="235" spans="1:14">
      <c r="A235" s="1">
        <v>12615</v>
      </c>
      <c r="B235" s="1">
        <v>4211</v>
      </c>
      <c r="C235" s="94">
        <v>7790895640452</v>
      </c>
      <c r="D235" s="1" t="s">
        <v>675</v>
      </c>
      <c r="E235" s="95">
        <v>1700.04</v>
      </c>
      <c r="F235" s="49">
        <v>1105.0260000000001</v>
      </c>
      <c r="G235" s="96">
        <v>-595.0139999999999</v>
      </c>
      <c r="H235" s="1" t="s">
        <v>14</v>
      </c>
      <c r="I235" s="1" t="s">
        <v>15</v>
      </c>
      <c r="J235" s="17">
        <v>46205</v>
      </c>
      <c r="K235" s="3">
        <v>46234</v>
      </c>
      <c r="L235" s="3" t="s">
        <v>716</v>
      </c>
      <c r="M235" s="30"/>
      <c r="N235" s="30"/>
    </row>
    <row r="236" spans="1:14">
      <c r="A236" s="1">
        <v>12616</v>
      </c>
      <c r="B236" s="1">
        <v>4207</v>
      </c>
      <c r="C236" s="94">
        <v>7790895640469</v>
      </c>
      <c r="D236" s="1" t="s">
        <v>676</v>
      </c>
      <c r="E236" s="95">
        <v>1700.04</v>
      </c>
      <c r="F236" s="49">
        <v>1105.0260000000001</v>
      </c>
      <c r="G236" s="96">
        <v>-595.0139999999999</v>
      </c>
      <c r="H236" s="1" t="s">
        <v>14</v>
      </c>
      <c r="I236" s="1" t="s">
        <v>15</v>
      </c>
      <c r="J236" s="17">
        <v>46205</v>
      </c>
      <c r="K236" s="3">
        <v>46234</v>
      </c>
      <c r="L236" s="3" t="s">
        <v>716</v>
      </c>
      <c r="M236" s="30"/>
      <c r="N236" s="30"/>
    </row>
    <row r="237" spans="1:14">
      <c r="A237" s="1">
        <v>5272</v>
      </c>
      <c r="B237" s="1">
        <v>3842</v>
      </c>
      <c r="C237" s="94">
        <v>7790895641541</v>
      </c>
      <c r="D237" s="1" t="s">
        <v>677</v>
      </c>
      <c r="E237" s="95">
        <v>1400.0429999999999</v>
      </c>
      <c r="F237" s="49">
        <v>910.02794999999992</v>
      </c>
      <c r="G237" s="96">
        <v>-490.01504999999997</v>
      </c>
      <c r="H237" s="1" t="s">
        <v>14</v>
      </c>
      <c r="I237" s="1" t="s">
        <v>15</v>
      </c>
      <c r="J237" s="17">
        <v>46205</v>
      </c>
      <c r="K237" s="3">
        <v>46234</v>
      </c>
      <c r="L237" s="3" t="s">
        <v>716</v>
      </c>
      <c r="M237" s="30"/>
      <c r="N237" s="30"/>
    </row>
    <row r="238" spans="1:14">
      <c r="A238" s="1">
        <v>5289</v>
      </c>
      <c r="B238" s="1">
        <v>3840</v>
      </c>
      <c r="C238" s="94">
        <v>7790895641794</v>
      </c>
      <c r="D238" s="1" t="s">
        <v>678</v>
      </c>
      <c r="E238" s="95">
        <v>1400.0429999999999</v>
      </c>
      <c r="F238" s="49">
        <v>910.02794999999992</v>
      </c>
      <c r="G238" s="96">
        <v>-490.01504999999997</v>
      </c>
      <c r="H238" s="1" t="s">
        <v>14</v>
      </c>
      <c r="I238" s="1" t="s">
        <v>15</v>
      </c>
      <c r="J238" s="17">
        <v>46205</v>
      </c>
      <c r="K238" s="3">
        <v>46234</v>
      </c>
      <c r="L238" s="3" t="s">
        <v>716</v>
      </c>
      <c r="M238" s="30"/>
      <c r="N238" s="30"/>
    </row>
    <row r="239" spans="1:14">
      <c r="A239" s="1">
        <v>665055</v>
      </c>
      <c r="B239" s="1">
        <v>3844</v>
      </c>
      <c r="C239" s="94">
        <v>7790895649271</v>
      </c>
      <c r="D239" s="1" t="s">
        <v>679</v>
      </c>
      <c r="E239" s="95">
        <v>1400.0429999999999</v>
      </c>
      <c r="F239" s="49">
        <v>910.02794999999992</v>
      </c>
      <c r="G239" s="96">
        <v>-490.01504999999997</v>
      </c>
      <c r="H239" s="1" t="s">
        <v>14</v>
      </c>
      <c r="I239" s="1" t="s">
        <v>15</v>
      </c>
      <c r="J239" s="17">
        <v>46205</v>
      </c>
      <c r="K239" s="3">
        <v>46234</v>
      </c>
      <c r="L239" s="3" t="s">
        <v>716</v>
      </c>
      <c r="M239" s="30"/>
      <c r="N239" s="30"/>
    </row>
    <row r="240" spans="1:14">
      <c r="A240" s="1">
        <v>665056</v>
      </c>
      <c r="B240" s="1">
        <v>3851</v>
      </c>
      <c r="C240" s="94">
        <v>7790895649257</v>
      </c>
      <c r="D240" s="1" t="s">
        <v>680</v>
      </c>
      <c r="E240" s="95">
        <v>1400.0429999999999</v>
      </c>
      <c r="F240" s="49">
        <v>910.02794999999992</v>
      </c>
      <c r="G240" s="96">
        <v>-490.01504999999997</v>
      </c>
      <c r="H240" s="1" t="s">
        <v>14</v>
      </c>
      <c r="I240" s="1" t="s">
        <v>15</v>
      </c>
      <c r="J240" s="17">
        <v>46205</v>
      </c>
      <c r="K240" s="3">
        <v>46234</v>
      </c>
      <c r="L240" s="3" t="s">
        <v>716</v>
      </c>
      <c r="M240" s="30"/>
      <c r="N240" s="30"/>
    </row>
    <row r="241" spans="1:14">
      <c r="A241" s="1">
        <v>5519</v>
      </c>
      <c r="B241" s="1">
        <v>3924</v>
      </c>
      <c r="C241" s="94">
        <v>7790895646577</v>
      </c>
      <c r="D241" s="1" t="s">
        <v>681</v>
      </c>
      <c r="E241" s="95">
        <v>1149.924</v>
      </c>
      <c r="F241" s="49">
        <v>747.45060000000001</v>
      </c>
      <c r="G241" s="96">
        <v>-402.47339999999997</v>
      </c>
      <c r="H241" s="1" t="s">
        <v>14</v>
      </c>
      <c r="I241" s="1" t="s">
        <v>15</v>
      </c>
      <c r="J241" s="17">
        <v>46205</v>
      </c>
      <c r="K241" s="3">
        <v>46234</v>
      </c>
      <c r="L241" s="3" t="s">
        <v>716</v>
      </c>
      <c r="M241" s="30"/>
      <c r="N241" s="30"/>
    </row>
    <row r="242" spans="1:14">
      <c r="A242" s="1">
        <v>5563</v>
      </c>
      <c r="B242" s="1">
        <v>3920</v>
      </c>
      <c r="C242" s="94">
        <v>7790895647024</v>
      </c>
      <c r="D242" s="1" t="s">
        <v>682</v>
      </c>
      <c r="E242" s="95">
        <v>1149.924</v>
      </c>
      <c r="F242" s="49">
        <v>747.45060000000001</v>
      </c>
      <c r="G242" s="96">
        <v>-402.47339999999997</v>
      </c>
      <c r="H242" s="1" t="s">
        <v>14</v>
      </c>
      <c r="I242" s="1" t="s">
        <v>15</v>
      </c>
      <c r="J242" s="17">
        <v>46205</v>
      </c>
      <c r="K242" s="3">
        <v>46234</v>
      </c>
      <c r="L242" s="3" t="s">
        <v>716</v>
      </c>
      <c r="M242" s="30"/>
      <c r="N242" s="30"/>
    </row>
    <row r="243" spans="1:14">
      <c r="A243" s="1">
        <v>6454</v>
      </c>
      <c r="B243" s="1">
        <v>3923</v>
      </c>
      <c r="C243" s="94">
        <v>7790895647130</v>
      </c>
      <c r="D243" s="1" t="s">
        <v>683</v>
      </c>
      <c r="E243" s="95">
        <v>1149.924</v>
      </c>
      <c r="F243" s="49">
        <v>747.45060000000001</v>
      </c>
      <c r="G243" s="96">
        <v>-402.47339999999997</v>
      </c>
      <c r="H243" s="1" t="s">
        <v>14</v>
      </c>
      <c r="I243" s="1" t="s">
        <v>15</v>
      </c>
      <c r="J243" s="17">
        <v>46205</v>
      </c>
      <c r="K243" s="3">
        <v>46234</v>
      </c>
      <c r="L243" s="3" t="s">
        <v>716</v>
      </c>
      <c r="M243" s="30"/>
      <c r="N243" s="30"/>
    </row>
    <row r="244" spans="1:14">
      <c r="A244" s="1">
        <v>5265</v>
      </c>
      <c r="B244" s="1">
        <v>4059</v>
      </c>
      <c r="C244" s="94">
        <v>7790895641183</v>
      </c>
      <c r="D244" s="1" t="s">
        <v>684</v>
      </c>
      <c r="E244" s="95">
        <v>2499.9969999999998</v>
      </c>
      <c r="F244" s="49">
        <v>1624.9980499999999</v>
      </c>
      <c r="G244" s="96">
        <v>-874.99894999999992</v>
      </c>
      <c r="H244" s="1" t="s">
        <v>17</v>
      </c>
      <c r="I244" s="1" t="s">
        <v>111</v>
      </c>
      <c r="J244" s="17">
        <v>46205</v>
      </c>
      <c r="K244" s="3">
        <v>46234</v>
      </c>
      <c r="L244" s="3" t="s">
        <v>716</v>
      </c>
      <c r="M244" s="30"/>
      <c r="N244" s="30"/>
    </row>
    <row r="245" spans="1:14">
      <c r="A245" s="1">
        <v>1215</v>
      </c>
      <c r="B245" s="1">
        <v>4053</v>
      </c>
      <c r="C245" s="94">
        <v>7790895640018</v>
      </c>
      <c r="D245" s="1" t="s">
        <v>685</v>
      </c>
      <c r="E245" s="95">
        <v>2499.9969999999998</v>
      </c>
      <c r="F245" s="49">
        <v>1624.9980499999999</v>
      </c>
      <c r="G245" s="96">
        <v>-874.99894999999992</v>
      </c>
      <c r="H245" s="1" t="s">
        <v>17</v>
      </c>
      <c r="I245" s="1" t="s">
        <v>111</v>
      </c>
      <c r="J245" s="17">
        <v>46205</v>
      </c>
      <c r="K245" s="3">
        <v>46234</v>
      </c>
      <c r="L245" s="3" t="s">
        <v>716</v>
      </c>
      <c r="M245" s="30"/>
      <c r="N245" s="30"/>
    </row>
    <row r="246" spans="1:14">
      <c r="A246" s="1">
        <v>1494</v>
      </c>
      <c r="B246" s="1">
        <v>4055</v>
      </c>
      <c r="C246" s="94">
        <v>7790895640025</v>
      </c>
      <c r="D246" s="1" t="s">
        <v>686</v>
      </c>
      <c r="E246" s="95">
        <v>2499.9969999999998</v>
      </c>
      <c r="F246" s="49">
        <v>1624.9980499999999</v>
      </c>
      <c r="G246" s="96">
        <v>-874.99894999999992</v>
      </c>
      <c r="H246" s="1" t="s">
        <v>17</v>
      </c>
      <c r="I246" s="1" t="s">
        <v>111</v>
      </c>
      <c r="J246" s="17">
        <v>46205</v>
      </c>
      <c r="K246" s="3">
        <v>46234</v>
      </c>
      <c r="L246" s="3" t="s">
        <v>716</v>
      </c>
      <c r="M246" s="30"/>
      <c r="N246" s="30"/>
    </row>
    <row r="247" spans="1:14">
      <c r="A247" s="1">
        <v>663983</v>
      </c>
      <c r="B247" s="1">
        <v>4067</v>
      </c>
      <c r="C247" s="94">
        <v>7790895648687</v>
      </c>
      <c r="D247" s="1" t="s">
        <v>687</v>
      </c>
      <c r="E247" s="95">
        <v>2500.0920000000001</v>
      </c>
      <c r="F247" s="49">
        <v>1625.0598000000002</v>
      </c>
      <c r="G247" s="96">
        <v>-875.03219999999988</v>
      </c>
      <c r="H247" s="1" t="s">
        <v>17</v>
      </c>
      <c r="I247" s="1" t="s">
        <v>111</v>
      </c>
      <c r="J247" s="17">
        <v>46205</v>
      </c>
      <c r="K247" s="3">
        <v>46234</v>
      </c>
      <c r="L247" s="3" t="s">
        <v>716</v>
      </c>
      <c r="M247" s="30"/>
      <c r="N247" s="30"/>
    </row>
    <row r="248" spans="1:14">
      <c r="A248" s="1">
        <v>666580</v>
      </c>
      <c r="B248" s="1">
        <v>4070</v>
      </c>
      <c r="C248" s="94">
        <v>7790895651052</v>
      </c>
      <c r="D248" s="1" t="s">
        <v>688</v>
      </c>
      <c r="E248" s="95">
        <v>2500.0920000000001</v>
      </c>
      <c r="F248" s="49">
        <v>1625.0598000000002</v>
      </c>
      <c r="G248" s="96">
        <v>-875.03219999999988</v>
      </c>
      <c r="H248" s="1" t="s">
        <v>17</v>
      </c>
      <c r="I248" s="1" t="s">
        <v>111</v>
      </c>
      <c r="J248" s="17">
        <v>46205</v>
      </c>
      <c r="K248" s="3">
        <v>46234</v>
      </c>
      <c r="L248" s="3" t="s">
        <v>716</v>
      </c>
      <c r="M248" s="30"/>
      <c r="N248" s="30"/>
    </row>
    <row r="249" spans="1:14">
      <c r="A249" s="1">
        <v>9216</v>
      </c>
      <c r="B249" s="1">
        <v>655</v>
      </c>
      <c r="C249" s="94">
        <v>7790895067570</v>
      </c>
      <c r="D249" s="1" t="s">
        <v>689</v>
      </c>
      <c r="E249" s="95">
        <v>4800.1809999999996</v>
      </c>
      <c r="F249" s="49">
        <v>3600.1357499999995</v>
      </c>
      <c r="G249" s="96">
        <v>-1200.0452500000001</v>
      </c>
      <c r="H249" s="1" t="s">
        <v>14</v>
      </c>
      <c r="I249" s="1" t="s">
        <v>18</v>
      </c>
      <c r="J249" s="17">
        <v>46205</v>
      </c>
      <c r="K249" s="3">
        <v>46208</v>
      </c>
      <c r="L249" s="3" t="s">
        <v>716</v>
      </c>
      <c r="M249" s="30"/>
      <c r="N249" s="30"/>
    </row>
    <row r="250" spans="1:14">
      <c r="A250" s="1">
        <v>1187</v>
      </c>
      <c r="B250" s="1">
        <v>327</v>
      </c>
      <c r="C250" s="94">
        <v>7790895000997</v>
      </c>
      <c r="D250" s="1" t="s">
        <v>690</v>
      </c>
      <c r="E250" s="95">
        <v>4800.1809999999996</v>
      </c>
      <c r="F250" s="49">
        <v>3600.1357499999995</v>
      </c>
      <c r="G250" s="96">
        <v>-1200.0452500000001</v>
      </c>
      <c r="H250" s="1" t="s">
        <v>14</v>
      </c>
      <c r="I250" s="1" t="s">
        <v>18</v>
      </c>
      <c r="J250" s="17">
        <v>46205</v>
      </c>
      <c r="K250" s="3">
        <v>46208</v>
      </c>
      <c r="L250" s="3" t="s">
        <v>716</v>
      </c>
      <c r="M250" s="30"/>
      <c r="N250" s="30"/>
    </row>
    <row r="251" spans="1:14">
      <c r="A251" s="1">
        <v>1204</v>
      </c>
      <c r="B251" s="1">
        <v>1195</v>
      </c>
      <c r="C251" s="94">
        <v>7790895001017</v>
      </c>
      <c r="D251" s="1" t="s">
        <v>691</v>
      </c>
      <c r="E251" s="95">
        <v>4600.1790000000001</v>
      </c>
      <c r="F251" s="49">
        <v>3220.1252999999997</v>
      </c>
      <c r="G251" s="96">
        <v>-1380.0537000000004</v>
      </c>
      <c r="H251" s="1" t="s">
        <v>17</v>
      </c>
      <c r="I251" s="1" t="s">
        <v>93</v>
      </c>
      <c r="J251" s="17">
        <v>46205</v>
      </c>
      <c r="K251" s="3">
        <v>46208</v>
      </c>
      <c r="L251" s="3" t="s">
        <v>716</v>
      </c>
      <c r="M251" s="30"/>
      <c r="N251" s="30"/>
    </row>
    <row r="252" spans="1:14">
      <c r="A252" s="1">
        <v>1214</v>
      </c>
      <c r="B252" s="1">
        <v>2427</v>
      </c>
      <c r="C252" s="94">
        <v>7790895001000</v>
      </c>
      <c r="D252" s="1" t="s">
        <v>692</v>
      </c>
      <c r="E252" s="95">
        <v>4600.1239999999998</v>
      </c>
      <c r="F252" s="49">
        <v>3220.0867999999996</v>
      </c>
      <c r="G252" s="96">
        <v>-1380.0372000000002</v>
      </c>
      <c r="H252" s="1" t="s">
        <v>17</v>
      </c>
      <c r="I252" s="1" t="s">
        <v>93</v>
      </c>
      <c r="J252" s="17">
        <v>46205</v>
      </c>
      <c r="K252" s="3">
        <v>46208</v>
      </c>
      <c r="L252" s="3" t="s">
        <v>716</v>
      </c>
      <c r="M252" s="30"/>
      <c r="N252" s="30"/>
    </row>
    <row r="253" spans="1:14">
      <c r="A253" s="50">
        <v>662020</v>
      </c>
      <c r="B253" s="50">
        <v>3175</v>
      </c>
      <c r="C253" s="89">
        <v>7790895004667</v>
      </c>
      <c r="D253" s="50" t="s">
        <v>693</v>
      </c>
      <c r="E253" s="101">
        <v>3600.1390000000001</v>
      </c>
      <c r="F253" s="51">
        <v>2520.0972999999999</v>
      </c>
      <c r="G253" s="96">
        <v>-1080.0417000000002</v>
      </c>
      <c r="H253" s="50" t="s">
        <v>17</v>
      </c>
      <c r="I253" s="50" t="s">
        <v>93</v>
      </c>
      <c r="J253" s="52">
        <v>46205</v>
      </c>
      <c r="K253" s="53">
        <v>46208</v>
      </c>
      <c r="L253" s="3" t="s">
        <v>716</v>
      </c>
      <c r="M253" s="30"/>
      <c r="N253" s="30"/>
    </row>
    <row r="254" spans="1:14">
      <c r="A254" s="50">
        <v>662626</v>
      </c>
      <c r="B254" s="50">
        <v>2684</v>
      </c>
      <c r="C254" s="89">
        <v>7790895648564</v>
      </c>
      <c r="D254" s="50" t="s">
        <v>694</v>
      </c>
      <c r="E254" s="101">
        <v>2600.0740000000001</v>
      </c>
      <c r="F254" s="51">
        <v>1950.0554999999999</v>
      </c>
      <c r="G254" s="96">
        <v>-650.01850000000013</v>
      </c>
      <c r="H254" s="50" t="s">
        <v>17</v>
      </c>
      <c r="I254" s="50" t="s">
        <v>23</v>
      </c>
      <c r="J254" s="52">
        <v>46205</v>
      </c>
      <c r="K254" s="53">
        <v>46208</v>
      </c>
      <c r="L254" s="3" t="s">
        <v>716</v>
      </c>
      <c r="M254" s="30"/>
      <c r="N254" s="30"/>
    </row>
    <row r="255" spans="1:14">
      <c r="A255" s="50">
        <v>5291</v>
      </c>
      <c r="B255" s="50">
        <v>3845</v>
      </c>
      <c r="C255" s="89">
        <v>7790895641800</v>
      </c>
      <c r="D255" s="50" t="s">
        <v>695</v>
      </c>
      <c r="E255" s="101">
        <v>3500.0920000000001</v>
      </c>
      <c r="F255" s="51">
        <v>2625.069</v>
      </c>
      <c r="G255" s="96">
        <v>-875.02300000000014</v>
      </c>
      <c r="H255" s="50" t="s">
        <v>17</v>
      </c>
      <c r="I255" s="50" t="s">
        <v>23</v>
      </c>
      <c r="J255" s="52">
        <v>46205</v>
      </c>
      <c r="K255" s="53">
        <v>46208</v>
      </c>
      <c r="L255" s="3" t="s">
        <v>716</v>
      </c>
      <c r="M255" s="30"/>
      <c r="N255" s="30"/>
    </row>
    <row r="256" spans="1:14">
      <c r="A256" s="50">
        <v>5320</v>
      </c>
      <c r="B256" s="50">
        <v>3846</v>
      </c>
      <c r="C256" s="89">
        <v>7790895641749</v>
      </c>
      <c r="D256" s="50" t="s">
        <v>696</v>
      </c>
      <c r="E256" s="101">
        <v>3500.0920000000001</v>
      </c>
      <c r="F256" s="51">
        <v>2625.069</v>
      </c>
      <c r="G256" s="96">
        <v>-875.02300000000014</v>
      </c>
      <c r="H256" s="50" t="s">
        <v>17</v>
      </c>
      <c r="I256" s="50" t="s">
        <v>23</v>
      </c>
      <c r="J256" s="52">
        <v>46205</v>
      </c>
      <c r="K256" s="53">
        <v>46208</v>
      </c>
      <c r="L256" s="3" t="s">
        <v>716</v>
      </c>
      <c r="M256" s="30"/>
      <c r="N256" s="30"/>
    </row>
    <row r="257" spans="1:14">
      <c r="A257" s="50">
        <v>5342</v>
      </c>
      <c r="B257" s="50">
        <v>3847</v>
      </c>
      <c r="C257" s="89">
        <v>7790895641534</v>
      </c>
      <c r="D257" s="50" t="s">
        <v>697</v>
      </c>
      <c r="E257" s="101">
        <v>3500.0920000000001</v>
      </c>
      <c r="F257" s="51">
        <v>2625.069</v>
      </c>
      <c r="G257" s="96">
        <v>-875.02300000000014</v>
      </c>
      <c r="H257" s="50" t="s">
        <v>17</v>
      </c>
      <c r="I257" s="50" t="s">
        <v>23</v>
      </c>
      <c r="J257" s="52">
        <v>46205</v>
      </c>
      <c r="K257" s="53">
        <v>46208</v>
      </c>
      <c r="L257" s="3" t="s">
        <v>716</v>
      </c>
      <c r="M257" s="30"/>
      <c r="N257" s="30"/>
    </row>
    <row r="258" spans="1:14">
      <c r="A258" s="50">
        <v>5510</v>
      </c>
      <c r="B258" s="50">
        <v>3835</v>
      </c>
      <c r="C258" s="89">
        <v>7790895646737</v>
      </c>
      <c r="D258" s="50" t="s">
        <v>698</v>
      </c>
      <c r="E258" s="101">
        <v>2000.079</v>
      </c>
      <c r="F258" s="51">
        <v>1500.05925</v>
      </c>
      <c r="G258" s="96">
        <v>-500.01974999999993</v>
      </c>
      <c r="H258" s="50" t="s">
        <v>17</v>
      </c>
      <c r="I258" s="50" t="s">
        <v>23</v>
      </c>
      <c r="J258" s="52">
        <v>46205</v>
      </c>
      <c r="K258" s="53">
        <v>46208</v>
      </c>
      <c r="L258" s="3" t="s">
        <v>716</v>
      </c>
      <c r="M258" s="30"/>
      <c r="N258" s="30"/>
    </row>
    <row r="259" spans="1:14">
      <c r="A259" s="50">
        <v>8762</v>
      </c>
      <c r="B259" s="50">
        <v>3848</v>
      </c>
      <c r="C259" s="89">
        <v>7790895004933</v>
      </c>
      <c r="D259" s="50" t="s">
        <v>699</v>
      </c>
      <c r="E259" s="101">
        <v>3286.8209999999999</v>
      </c>
      <c r="F259" s="51">
        <v>2465.1157499999999</v>
      </c>
      <c r="G259" s="96">
        <v>-821.70524999999998</v>
      </c>
      <c r="H259" s="50" t="s">
        <v>17</v>
      </c>
      <c r="I259" s="50" t="s">
        <v>23</v>
      </c>
      <c r="J259" s="52">
        <v>46205</v>
      </c>
      <c r="K259" s="53">
        <v>46208</v>
      </c>
      <c r="L259" s="3" t="s">
        <v>716</v>
      </c>
      <c r="M259" s="30"/>
      <c r="N259" s="30"/>
    </row>
    <row r="260" spans="1:14">
      <c r="A260" s="50">
        <v>14024</v>
      </c>
      <c r="B260" s="50">
        <v>3836</v>
      </c>
      <c r="C260" s="89">
        <v>7790895646775</v>
      </c>
      <c r="D260" s="50" t="s">
        <v>700</v>
      </c>
      <c r="E260" s="101">
        <v>2000.079</v>
      </c>
      <c r="F260" s="51">
        <v>1500.05925</v>
      </c>
      <c r="G260" s="96">
        <v>-500.01974999999993</v>
      </c>
      <c r="H260" s="50" t="s">
        <v>17</v>
      </c>
      <c r="I260" s="50" t="s">
        <v>23</v>
      </c>
      <c r="J260" s="52">
        <v>46205</v>
      </c>
      <c r="K260" s="53">
        <v>46208</v>
      </c>
      <c r="L260" s="3" t="s">
        <v>716</v>
      </c>
      <c r="M260" s="30"/>
      <c r="N260" s="30"/>
    </row>
    <row r="261" spans="1:14">
      <c r="A261" s="50">
        <v>666686</v>
      </c>
      <c r="B261" s="50">
        <v>3834</v>
      </c>
      <c r="C261" s="89">
        <v>7790895646751</v>
      </c>
      <c r="D261" s="50" t="s">
        <v>701</v>
      </c>
      <c r="E261" s="101">
        <v>2000.079</v>
      </c>
      <c r="F261" s="51">
        <v>1500.05925</v>
      </c>
      <c r="G261" s="96">
        <v>-500.01974999999993</v>
      </c>
      <c r="H261" s="50" t="s">
        <v>17</v>
      </c>
      <c r="I261" s="50" t="s">
        <v>23</v>
      </c>
      <c r="J261" s="52">
        <v>46205</v>
      </c>
      <c r="K261" s="53">
        <v>46208</v>
      </c>
      <c r="L261" s="3" t="s">
        <v>716</v>
      </c>
      <c r="M261" s="30"/>
      <c r="N261" s="30"/>
    </row>
    <row r="262" spans="1:14">
      <c r="A262" s="50">
        <v>657469</v>
      </c>
      <c r="B262" s="50">
        <v>3850</v>
      </c>
      <c r="C262" s="89">
        <v>7790895009815</v>
      </c>
      <c r="D262" s="50" t="s">
        <v>702</v>
      </c>
      <c r="E262" s="101">
        <v>2800.07</v>
      </c>
      <c r="F262" s="51">
        <v>2100.0525000000002</v>
      </c>
      <c r="G262" s="96">
        <v>-700.01749999999993</v>
      </c>
      <c r="H262" s="50" t="s">
        <v>17</v>
      </c>
      <c r="I262" s="50" t="s">
        <v>23</v>
      </c>
      <c r="J262" s="52">
        <v>46205</v>
      </c>
      <c r="K262" s="53">
        <v>46208</v>
      </c>
      <c r="L262" s="3" t="s">
        <v>716</v>
      </c>
      <c r="M262" s="30"/>
      <c r="N262" s="30"/>
    </row>
    <row r="263" spans="1:14">
      <c r="A263" s="50">
        <v>657905</v>
      </c>
      <c r="B263" s="50">
        <v>3852</v>
      </c>
      <c r="C263" s="89">
        <v>7790895009846</v>
      </c>
      <c r="D263" s="50" t="s">
        <v>703</v>
      </c>
      <c r="E263" s="101">
        <v>2800.07</v>
      </c>
      <c r="F263" s="51">
        <v>2100.0525000000002</v>
      </c>
      <c r="G263" s="96">
        <v>-700.01749999999993</v>
      </c>
      <c r="H263" s="50" t="s">
        <v>17</v>
      </c>
      <c r="I263" s="50" t="s">
        <v>23</v>
      </c>
      <c r="J263" s="52">
        <v>46205</v>
      </c>
      <c r="K263" s="53">
        <v>46208</v>
      </c>
      <c r="L263" s="3" t="s">
        <v>716</v>
      </c>
      <c r="M263" s="30"/>
      <c r="N263" s="30"/>
    </row>
    <row r="264" spans="1:14">
      <c r="A264" s="50">
        <v>665057</v>
      </c>
      <c r="B264" s="50">
        <v>3849</v>
      </c>
      <c r="C264" s="89">
        <v>7790895649264</v>
      </c>
      <c r="D264" s="50" t="s">
        <v>704</v>
      </c>
      <c r="E264" s="101">
        <v>2799.9960000000001</v>
      </c>
      <c r="F264" s="51">
        <v>2099.9970000000003</v>
      </c>
      <c r="G264" s="96">
        <v>-699.9989999999998</v>
      </c>
      <c r="H264" s="50" t="s">
        <v>17</v>
      </c>
      <c r="I264" s="50" t="s">
        <v>23</v>
      </c>
      <c r="J264" s="52">
        <v>46205</v>
      </c>
      <c r="K264" s="53">
        <v>46208</v>
      </c>
      <c r="L264" s="3" t="s">
        <v>716</v>
      </c>
      <c r="M264" s="30"/>
      <c r="N264" s="30"/>
    </row>
    <row r="265" spans="1:14">
      <c r="A265" s="50">
        <v>665058</v>
      </c>
      <c r="B265" s="50">
        <v>3855</v>
      </c>
      <c r="C265" s="89">
        <v>7790895649240</v>
      </c>
      <c r="D265" s="50" t="s">
        <v>705</v>
      </c>
      <c r="E265" s="101">
        <v>2896.491</v>
      </c>
      <c r="F265" s="51">
        <v>2172.36825</v>
      </c>
      <c r="G265" s="96">
        <v>-724.12275</v>
      </c>
      <c r="H265" s="50" t="s">
        <v>17</v>
      </c>
      <c r="I265" s="50" t="s">
        <v>23</v>
      </c>
      <c r="J265" s="52">
        <v>46205</v>
      </c>
      <c r="K265" s="53">
        <v>46208</v>
      </c>
      <c r="L265" s="3" t="s">
        <v>716</v>
      </c>
      <c r="M265" s="30"/>
      <c r="N265" s="30"/>
    </row>
    <row r="266" spans="1:14">
      <c r="A266" s="50">
        <v>4255</v>
      </c>
      <c r="B266" s="50">
        <v>4235</v>
      </c>
      <c r="C266" s="89">
        <v>7790895003301</v>
      </c>
      <c r="D266" s="50" t="s">
        <v>706</v>
      </c>
      <c r="E266" s="101">
        <v>3100.0819999999999</v>
      </c>
      <c r="F266" s="51">
        <v>2325.0614999999998</v>
      </c>
      <c r="G266" s="96">
        <v>-775.02050000000008</v>
      </c>
      <c r="H266" s="50" t="s">
        <v>17</v>
      </c>
      <c r="I266" s="50" t="s">
        <v>23</v>
      </c>
      <c r="J266" s="52">
        <v>46205</v>
      </c>
      <c r="K266" s="53">
        <v>46208</v>
      </c>
      <c r="L266" s="3" t="s">
        <v>716</v>
      </c>
      <c r="M266" s="30"/>
      <c r="N266" s="30"/>
    </row>
    <row r="267" spans="1:14">
      <c r="A267" s="50">
        <v>4433</v>
      </c>
      <c r="B267" s="50">
        <v>4236</v>
      </c>
      <c r="C267" s="89">
        <v>7790895008504</v>
      </c>
      <c r="D267" s="50" t="s">
        <v>707</v>
      </c>
      <c r="E267" s="101">
        <v>3100.0819999999999</v>
      </c>
      <c r="F267" s="51">
        <v>2325.0614999999998</v>
      </c>
      <c r="G267" s="96">
        <v>-775.02050000000008</v>
      </c>
      <c r="H267" s="50" t="s">
        <v>17</v>
      </c>
      <c r="I267" s="50" t="s">
        <v>23</v>
      </c>
      <c r="J267" s="52">
        <v>46205</v>
      </c>
      <c r="K267" s="53">
        <v>46208</v>
      </c>
      <c r="L267" s="3" t="s">
        <v>716</v>
      </c>
      <c r="M267" s="30"/>
      <c r="N267" s="30"/>
    </row>
    <row r="268" spans="1:14">
      <c r="A268" s="50">
        <v>7341</v>
      </c>
      <c r="B268" s="50">
        <v>4237</v>
      </c>
      <c r="C268" s="89">
        <v>7790895003325</v>
      </c>
      <c r="D268" s="50" t="s">
        <v>708</v>
      </c>
      <c r="E268" s="101">
        <v>3100.0819999999999</v>
      </c>
      <c r="F268" s="51">
        <v>2325.0614999999998</v>
      </c>
      <c r="G268" s="96">
        <v>-775.02050000000008</v>
      </c>
      <c r="H268" s="50" t="s">
        <v>17</v>
      </c>
      <c r="I268" s="50" t="s">
        <v>23</v>
      </c>
      <c r="J268" s="52">
        <v>46205</v>
      </c>
      <c r="K268" s="53">
        <v>46208</v>
      </c>
      <c r="L268" s="3" t="s">
        <v>716</v>
      </c>
      <c r="M268" s="30"/>
      <c r="N268" s="30"/>
    </row>
    <row r="269" spans="1:14">
      <c r="A269" s="50">
        <v>7413</v>
      </c>
      <c r="B269" s="50">
        <v>4231</v>
      </c>
      <c r="C269" s="89">
        <v>7790895003288</v>
      </c>
      <c r="D269" s="50" t="s">
        <v>709</v>
      </c>
      <c r="E269" s="101">
        <v>3100.0819999999999</v>
      </c>
      <c r="F269" s="51">
        <v>2325.0614999999998</v>
      </c>
      <c r="G269" s="96">
        <v>-775.02050000000008</v>
      </c>
      <c r="H269" s="50" t="s">
        <v>17</v>
      </c>
      <c r="I269" s="50" t="s">
        <v>23</v>
      </c>
      <c r="J269" s="52">
        <v>46205</v>
      </c>
      <c r="K269" s="53">
        <v>46208</v>
      </c>
      <c r="L269" s="3" t="s">
        <v>716</v>
      </c>
      <c r="M269" s="30"/>
      <c r="N269" s="30"/>
    </row>
    <row r="270" spans="1:14">
      <c r="A270" s="104">
        <v>7479</v>
      </c>
      <c r="B270" s="94">
        <v>4233</v>
      </c>
      <c r="C270" s="94">
        <v>7790895003295</v>
      </c>
      <c r="D270" s="1" t="s">
        <v>710</v>
      </c>
      <c r="E270" s="95">
        <v>3100.0819999999999</v>
      </c>
      <c r="F270" s="95">
        <v>2325.0614999999998</v>
      </c>
      <c r="G270" s="96">
        <v>-775.02050000000008</v>
      </c>
      <c r="H270" s="1" t="s">
        <v>17</v>
      </c>
      <c r="I270" s="1" t="s">
        <v>23</v>
      </c>
      <c r="J270" s="17">
        <v>46205</v>
      </c>
      <c r="K270" s="17">
        <v>46208</v>
      </c>
      <c r="L270" s="3" t="s">
        <v>716</v>
      </c>
      <c r="M270" s="30"/>
      <c r="N270" s="30"/>
    </row>
    <row r="271" spans="1:14">
      <c r="A271" s="104">
        <v>8771</v>
      </c>
      <c r="B271" s="94">
        <v>4240</v>
      </c>
      <c r="C271" s="94">
        <v>7790895004971</v>
      </c>
      <c r="D271" s="1" t="s">
        <v>711</v>
      </c>
      <c r="E271" s="95">
        <v>3100.0819999999999</v>
      </c>
      <c r="F271" s="95">
        <v>2325.0614999999998</v>
      </c>
      <c r="G271" s="96">
        <v>-775.02050000000008</v>
      </c>
      <c r="H271" s="1" t="s">
        <v>17</v>
      </c>
      <c r="I271" s="1" t="s">
        <v>23</v>
      </c>
      <c r="J271" s="17">
        <v>46205</v>
      </c>
      <c r="K271" s="17">
        <v>46208</v>
      </c>
      <c r="L271" s="3" t="s">
        <v>716</v>
      </c>
      <c r="M271" s="30"/>
      <c r="N271" s="30"/>
    </row>
    <row r="272" spans="1:14">
      <c r="A272" s="104">
        <v>11681</v>
      </c>
      <c r="B272" s="94">
        <v>4079</v>
      </c>
      <c r="C272" s="94">
        <v>7790895006104</v>
      </c>
      <c r="D272" s="1" t="s">
        <v>712</v>
      </c>
      <c r="E272" s="95">
        <v>3600.0050000000001</v>
      </c>
      <c r="F272" s="95">
        <v>2340.0032500000002</v>
      </c>
      <c r="G272" s="96">
        <v>-1260.0017499999999</v>
      </c>
      <c r="H272" s="1" t="s">
        <v>17</v>
      </c>
      <c r="I272" s="1" t="s">
        <v>111</v>
      </c>
      <c r="J272" s="17">
        <v>46205</v>
      </c>
      <c r="K272" s="17">
        <v>46208</v>
      </c>
      <c r="L272" s="3" t="s">
        <v>716</v>
      </c>
      <c r="M272" s="30"/>
      <c r="N272" s="30"/>
    </row>
    <row r="273" spans="1:14">
      <c r="A273" s="104">
        <v>11682</v>
      </c>
      <c r="B273" s="94">
        <v>4075</v>
      </c>
      <c r="C273" s="94">
        <v>7790895006029</v>
      </c>
      <c r="D273" s="1" t="s">
        <v>713</v>
      </c>
      <c r="E273" s="95">
        <v>3600.0050000000001</v>
      </c>
      <c r="F273" s="95">
        <v>2340.0032500000002</v>
      </c>
      <c r="G273" s="96">
        <v>-1260.0017499999999</v>
      </c>
      <c r="H273" s="1" t="s">
        <v>17</v>
      </c>
      <c r="I273" s="1" t="s">
        <v>111</v>
      </c>
      <c r="J273" s="17">
        <v>46205</v>
      </c>
      <c r="K273" s="17">
        <v>46208</v>
      </c>
      <c r="L273" s="3" t="s">
        <v>716</v>
      </c>
      <c r="M273" s="30"/>
      <c r="N273" s="30"/>
    </row>
    <row r="274" spans="1:14">
      <c r="A274" s="104">
        <v>664855</v>
      </c>
      <c r="B274" s="94">
        <v>4076</v>
      </c>
      <c r="C274" s="94">
        <v>7790895006036</v>
      </c>
      <c r="D274" s="1" t="s">
        <v>714</v>
      </c>
      <c r="E274" s="95">
        <v>3600.0050000000001</v>
      </c>
      <c r="F274" s="95">
        <v>2340.0032500000002</v>
      </c>
      <c r="G274" s="96">
        <v>-1260.0017499999999</v>
      </c>
      <c r="H274" s="1" t="s">
        <v>17</v>
      </c>
      <c r="I274" s="1" t="s">
        <v>111</v>
      </c>
      <c r="J274" s="17">
        <v>46205</v>
      </c>
      <c r="K274" s="17">
        <v>46208</v>
      </c>
      <c r="L274" s="3" t="s">
        <v>716</v>
      </c>
      <c r="M274" s="30"/>
      <c r="N274" s="30"/>
    </row>
    <row r="275" spans="1:14">
      <c r="A275" s="104">
        <v>667114</v>
      </c>
      <c r="B275" s="94">
        <v>6690</v>
      </c>
      <c r="C275" s="94">
        <v>7898953990430</v>
      </c>
      <c r="D275" s="1" t="s">
        <v>715</v>
      </c>
      <c r="E275" s="95">
        <v>3500.0219999999999</v>
      </c>
      <c r="F275" s="95">
        <v>2275.0142999999998</v>
      </c>
      <c r="G275" s="96">
        <v>-1225.0077000000001</v>
      </c>
      <c r="H275" s="1" t="s">
        <v>17</v>
      </c>
      <c r="I275" s="1" t="s">
        <v>111</v>
      </c>
      <c r="J275" s="17">
        <v>46205</v>
      </c>
      <c r="K275" s="17">
        <v>46208</v>
      </c>
      <c r="L275" s="3" t="s">
        <v>716</v>
      </c>
      <c r="M275" s="30"/>
      <c r="N275" s="30"/>
    </row>
    <row r="276" spans="1:14">
      <c r="A276" s="50">
        <v>659418</v>
      </c>
      <c r="B276" s="50">
        <v>929</v>
      </c>
      <c r="C276" s="89">
        <v>7798304851536</v>
      </c>
      <c r="D276" s="50" t="s">
        <v>1592</v>
      </c>
      <c r="E276" s="101">
        <v>7310</v>
      </c>
      <c r="F276" s="101">
        <f>+E276*0.85</f>
        <v>6213.5</v>
      </c>
      <c r="G276" s="96">
        <f t="shared" ref="G276:G291" si="20">+F276-E276</f>
        <v>-1096.5</v>
      </c>
      <c r="H276" s="50" t="s">
        <v>17</v>
      </c>
      <c r="I276" s="50" t="s">
        <v>651</v>
      </c>
      <c r="J276" s="52">
        <v>46205</v>
      </c>
      <c r="K276" s="52">
        <v>46234</v>
      </c>
      <c r="L276" s="3" t="s">
        <v>717</v>
      </c>
      <c r="M276" s="30"/>
      <c r="N276" s="30"/>
    </row>
    <row r="277" spans="1:14">
      <c r="A277" s="50">
        <v>659421</v>
      </c>
      <c r="B277" s="50">
        <v>2090</v>
      </c>
      <c r="C277" s="89">
        <v>7798304851468</v>
      </c>
      <c r="D277" s="50" t="s">
        <v>1593</v>
      </c>
      <c r="E277" s="101">
        <v>6460</v>
      </c>
      <c r="F277" s="101">
        <f t="shared" ref="F277:F279" si="21">+E277*0.85</f>
        <v>5491</v>
      </c>
      <c r="G277" s="96">
        <f t="shared" si="20"/>
        <v>-969</v>
      </c>
      <c r="H277" s="50" t="s">
        <v>17</v>
      </c>
      <c r="I277" s="50" t="s">
        <v>651</v>
      </c>
      <c r="J277" s="52">
        <v>46205</v>
      </c>
      <c r="K277" s="52">
        <v>46234</v>
      </c>
      <c r="L277" s="3" t="s">
        <v>717</v>
      </c>
      <c r="M277" s="30"/>
      <c r="N277" s="30"/>
    </row>
    <row r="278" spans="1:14">
      <c r="A278" s="50">
        <v>659717</v>
      </c>
      <c r="B278" s="50">
        <v>960</v>
      </c>
      <c r="C278" s="89">
        <v>7798304851338</v>
      </c>
      <c r="D278" s="50" t="s">
        <v>1594</v>
      </c>
      <c r="E278" s="101">
        <v>8060</v>
      </c>
      <c r="F278" s="101">
        <f t="shared" si="21"/>
        <v>6851</v>
      </c>
      <c r="G278" s="96">
        <f t="shared" si="20"/>
        <v>-1209</v>
      </c>
      <c r="H278" s="50" t="s">
        <v>17</v>
      </c>
      <c r="I278" s="50" t="s">
        <v>651</v>
      </c>
      <c r="J278" s="52">
        <v>46205</v>
      </c>
      <c r="K278" s="52">
        <v>46234</v>
      </c>
      <c r="L278" s="3" t="s">
        <v>717</v>
      </c>
      <c r="M278" s="30"/>
      <c r="N278" s="30"/>
    </row>
    <row r="279" spans="1:14">
      <c r="A279" s="50">
        <v>659416</v>
      </c>
      <c r="B279" s="50">
        <v>940</v>
      </c>
      <c r="C279" s="89">
        <v>7798304851321</v>
      </c>
      <c r="D279" s="50" t="s">
        <v>1595</v>
      </c>
      <c r="E279" s="101">
        <v>5590</v>
      </c>
      <c r="F279" s="101">
        <f t="shared" si="21"/>
        <v>4751.5</v>
      </c>
      <c r="G279" s="96">
        <f t="shared" si="20"/>
        <v>-838.5</v>
      </c>
      <c r="H279" s="50" t="s">
        <v>17</v>
      </c>
      <c r="I279" s="50" t="s">
        <v>651</v>
      </c>
      <c r="J279" s="52">
        <v>46205</v>
      </c>
      <c r="K279" s="52">
        <v>46234</v>
      </c>
      <c r="L279" s="3" t="s">
        <v>717</v>
      </c>
      <c r="M279" s="30"/>
      <c r="N279" s="30"/>
    </row>
    <row r="280" spans="1:14">
      <c r="A280" s="50">
        <v>666336</v>
      </c>
      <c r="B280" s="50">
        <v>2615</v>
      </c>
      <c r="C280" s="89">
        <v>7891515586812</v>
      </c>
      <c r="D280" s="50" t="s">
        <v>1596</v>
      </c>
      <c r="E280" s="101">
        <v>6945</v>
      </c>
      <c r="F280" s="101">
        <f>+E280*0.75</f>
        <v>5208.75</v>
      </c>
      <c r="G280" s="96">
        <f t="shared" si="20"/>
        <v>-1736.25</v>
      </c>
      <c r="H280" s="50" t="s">
        <v>17</v>
      </c>
      <c r="I280" s="50" t="s">
        <v>23</v>
      </c>
      <c r="J280" s="52">
        <v>46205</v>
      </c>
      <c r="K280" s="52">
        <v>46234</v>
      </c>
      <c r="L280" s="3" t="s">
        <v>717</v>
      </c>
      <c r="M280" s="30"/>
      <c r="N280" s="30"/>
    </row>
    <row r="281" spans="1:14">
      <c r="A281" s="50">
        <v>664380</v>
      </c>
      <c r="B281" s="50">
        <v>1815</v>
      </c>
      <c r="C281" s="89">
        <v>7790670052678</v>
      </c>
      <c r="D281" s="50" t="s">
        <v>1597</v>
      </c>
      <c r="E281" s="101">
        <v>6961.54</v>
      </c>
      <c r="F281" s="101">
        <v>5221.1549999999997</v>
      </c>
      <c r="G281" s="96">
        <v>-1740.3850000000002</v>
      </c>
      <c r="H281" s="50" t="s">
        <v>17</v>
      </c>
      <c r="I281" s="50" t="s">
        <v>23</v>
      </c>
      <c r="J281" s="52">
        <v>46210</v>
      </c>
      <c r="K281" s="52">
        <v>46234</v>
      </c>
      <c r="L281" s="3" t="s">
        <v>717</v>
      </c>
      <c r="M281" s="30"/>
      <c r="N281" s="30"/>
    </row>
    <row r="282" spans="1:14">
      <c r="A282" s="50">
        <v>666398</v>
      </c>
      <c r="B282" s="50">
        <v>2854</v>
      </c>
      <c r="C282" s="89">
        <v>7891515629465</v>
      </c>
      <c r="D282" s="50" t="s">
        <v>1598</v>
      </c>
      <c r="E282" s="101">
        <v>15650</v>
      </c>
      <c r="F282" s="101">
        <f t="shared" ref="F282" si="22">+E282*0.75</f>
        <v>11737.5</v>
      </c>
      <c r="G282" s="96">
        <f t="shared" si="20"/>
        <v>-3912.5</v>
      </c>
      <c r="H282" s="50" t="s">
        <v>17</v>
      </c>
      <c r="I282" s="50" t="s">
        <v>23</v>
      </c>
      <c r="J282" s="52">
        <v>46205</v>
      </c>
      <c r="K282" s="52">
        <v>46234</v>
      </c>
      <c r="L282" s="3" t="s">
        <v>717</v>
      </c>
      <c r="M282" s="30"/>
      <c r="N282" s="30"/>
    </row>
    <row r="283" spans="1:14">
      <c r="A283" s="50">
        <v>10565</v>
      </c>
      <c r="B283" s="50">
        <v>315</v>
      </c>
      <c r="C283" s="89">
        <v>7790670050674</v>
      </c>
      <c r="D283" s="50" t="s">
        <v>1599</v>
      </c>
      <c r="E283" s="101">
        <v>4436.8900000000003</v>
      </c>
      <c r="F283" s="101">
        <v>3105.8229999999999</v>
      </c>
      <c r="G283" s="96">
        <v>-1331.0670000000005</v>
      </c>
      <c r="H283" s="50" t="s">
        <v>17</v>
      </c>
      <c r="I283" s="50" t="s">
        <v>93</v>
      </c>
      <c r="J283" s="52">
        <v>46210</v>
      </c>
      <c r="K283" s="52">
        <v>46234</v>
      </c>
      <c r="L283" s="3" t="s">
        <v>717</v>
      </c>
      <c r="M283" s="30"/>
      <c r="N283" s="30"/>
    </row>
    <row r="284" spans="1:14">
      <c r="A284" s="50">
        <v>665595</v>
      </c>
      <c r="B284" s="50">
        <v>2347</v>
      </c>
      <c r="C284" s="89">
        <v>7790670052791</v>
      </c>
      <c r="D284" s="50" t="s">
        <v>1600</v>
      </c>
      <c r="E284" s="101">
        <v>7976.5749999999998</v>
      </c>
      <c r="F284" s="101">
        <v>5583.6025</v>
      </c>
      <c r="G284" s="96">
        <v>-2392.9724999999999</v>
      </c>
      <c r="H284" s="50" t="s">
        <v>17</v>
      </c>
      <c r="I284" s="50" t="s">
        <v>93</v>
      </c>
      <c r="J284" s="52">
        <v>46210</v>
      </c>
      <c r="K284" s="52">
        <v>46234</v>
      </c>
      <c r="L284" s="3" t="s">
        <v>717</v>
      </c>
      <c r="M284" s="30"/>
      <c r="N284" s="30"/>
    </row>
    <row r="285" spans="1:14">
      <c r="A285" s="50">
        <v>660467</v>
      </c>
      <c r="B285" s="50">
        <v>1046</v>
      </c>
      <c r="C285" s="89">
        <v>7891515547066</v>
      </c>
      <c r="D285" s="50" t="s">
        <v>1601</v>
      </c>
      <c r="E285" s="101">
        <v>13400</v>
      </c>
      <c r="F285" s="101">
        <f>+E285*1.5/2</f>
        <v>10050</v>
      </c>
      <c r="G285" s="96">
        <f t="shared" si="20"/>
        <v>-3350</v>
      </c>
      <c r="H285" s="50" t="s">
        <v>14</v>
      </c>
      <c r="I285" s="50" t="s">
        <v>652</v>
      </c>
      <c r="J285" s="52">
        <v>46205</v>
      </c>
      <c r="K285" s="52">
        <v>46234</v>
      </c>
      <c r="L285" s="3" t="s">
        <v>717</v>
      </c>
      <c r="M285" s="30"/>
      <c r="N285" s="30"/>
    </row>
    <row r="286" spans="1:14">
      <c r="A286" s="50">
        <v>666365</v>
      </c>
      <c r="B286" s="50">
        <v>2833</v>
      </c>
      <c r="C286" s="89">
        <v>7790670052999</v>
      </c>
      <c r="D286" s="50" t="s">
        <v>1602</v>
      </c>
      <c r="E286" s="101">
        <v>3540</v>
      </c>
      <c r="F286" s="101">
        <f t="shared" ref="F286" si="23">+E286*1.5/2</f>
        <v>2655</v>
      </c>
      <c r="G286" s="96">
        <f t="shared" si="20"/>
        <v>-885</v>
      </c>
      <c r="H286" s="50" t="s">
        <v>14</v>
      </c>
      <c r="I286" s="50" t="s">
        <v>652</v>
      </c>
      <c r="J286" s="52">
        <v>46205</v>
      </c>
      <c r="K286" s="52">
        <v>46234</v>
      </c>
      <c r="L286" s="3" t="s">
        <v>717</v>
      </c>
      <c r="M286" s="30"/>
      <c r="N286" s="30"/>
    </row>
    <row r="287" spans="1:14">
      <c r="A287" s="50">
        <v>17314</v>
      </c>
      <c r="B287" s="50">
        <v>2913</v>
      </c>
      <c r="C287" s="89">
        <v>7790670050063</v>
      </c>
      <c r="D287" s="50" t="s">
        <v>1603</v>
      </c>
      <c r="E287" s="101">
        <v>1963.5530000000001</v>
      </c>
      <c r="F287" s="101">
        <v>1472.6647500000001</v>
      </c>
      <c r="G287" s="96">
        <v>-490.88824999999997</v>
      </c>
      <c r="H287" s="50" t="s">
        <v>14</v>
      </c>
      <c r="I287" s="50" t="s">
        <v>652</v>
      </c>
      <c r="J287" s="52">
        <v>46210</v>
      </c>
      <c r="K287" s="52">
        <v>46234</v>
      </c>
      <c r="L287" s="3" t="s">
        <v>717</v>
      </c>
      <c r="M287" s="30"/>
      <c r="N287" s="30"/>
    </row>
    <row r="288" spans="1:14">
      <c r="A288" s="50">
        <v>793</v>
      </c>
      <c r="B288" s="50">
        <v>841</v>
      </c>
      <c r="C288" s="89">
        <v>7790670051015</v>
      </c>
      <c r="D288" s="50" t="s">
        <v>1604</v>
      </c>
      <c r="E288" s="101">
        <v>4508.51</v>
      </c>
      <c r="F288" s="101">
        <v>3381.3825000000002</v>
      </c>
      <c r="G288" s="96">
        <v>-1127.1275000000001</v>
      </c>
      <c r="H288" s="50" t="s">
        <v>14</v>
      </c>
      <c r="I288" s="50" t="s">
        <v>652</v>
      </c>
      <c r="J288" s="52">
        <v>46210</v>
      </c>
      <c r="K288" s="52">
        <v>46234</v>
      </c>
      <c r="L288" s="3" t="s">
        <v>717</v>
      </c>
      <c r="M288" s="30"/>
      <c r="N288" s="30"/>
    </row>
    <row r="289" spans="1:14">
      <c r="A289" s="50">
        <v>7562</v>
      </c>
      <c r="B289" s="50">
        <v>282</v>
      </c>
      <c r="C289" s="89">
        <v>7790670050728</v>
      </c>
      <c r="D289" s="50" t="s">
        <v>1605</v>
      </c>
      <c r="E289" s="101">
        <v>3039.5439999999999</v>
      </c>
      <c r="F289" s="101">
        <v>2279.6579999999999</v>
      </c>
      <c r="G289" s="96">
        <v>-759.88599999999997</v>
      </c>
      <c r="H289" s="50" t="s">
        <v>14</v>
      </c>
      <c r="I289" s="50" t="s">
        <v>652</v>
      </c>
      <c r="J289" s="52">
        <v>46210</v>
      </c>
      <c r="K289" s="52">
        <v>46234</v>
      </c>
      <c r="L289" s="3" t="s">
        <v>717</v>
      </c>
      <c r="M289" s="30"/>
      <c r="N289" s="30"/>
    </row>
    <row r="290" spans="1:14">
      <c r="A290" s="94">
        <v>1203</v>
      </c>
      <c r="B290" s="94">
        <v>1190</v>
      </c>
      <c r="C290" s="94">
        <v>7790895000454</v>
      </c>
      <c r="D290" s="1" t="s">
        <v>660</v>
      </c>
      <c r="E290" s="105">
        <v>3800.14</v>
      </c>
      <c r="F290" s="105">
        <v>1800</v>
      </c>
      <c r="G290" s="105">
        <f t="shared" ref="G290" si="24">+F290-E290</f>
        <v>-2000.1399999999999</v>
      </c>
      <c r="H290" s="1" t="s">
        <v>17</v>
      </c>
      <c r="I290" s="1" t="s">
        <v>156</v>
      </c>
      <c r="J290" s="17">
        <v>46217</v>
      </c>
      <c r="K290" s="17">
        <v>46234</v>
      </c>
      <c r="L290" s="106" t="s">
        <v>719</v>
      </c>
      <c r="M290" s="56"/>
      <c r="N290" s="30"/>
    </row>
    <row r="291" spans="1:14">
      <c r="A291" s="94">
        <v>1204</v>
      </c>
      <c r="B291" s="94">
        <v>1195</v>
      </c>
      <c r="C291" s="94">
        <v>7790895001017</v>
      </c>
      <c r="D291" s="1" t="s">
        <v>691</v>
      </c>
      <c r="E291" s="95">
        <v>4600.18</v>
      </c>
      <c r="F291" s="95">
        <v>2490</v>
      </c>
      <c r="G291" s="96">
        <f t="shared" si="20"/>
        <v>-2110.1800000000003</v>
      </c>
      <c r="H291" s="1" t="s">
        <v>17</v>
      </c>
      <c r="I291" s="1" t="s">
        <v>156</v>
      </c>
      <c r="J291" s="17" t="s">
        <v>718</v>
      </c>
      <c r="K291" s="17">
        <v>46218</v>
      </c>
      <c r="L291" s="106" t="s">
        <v>719</v>
      </c>
      <c r="M291" s="56"/>
      <c r="N291" s="30"/>
    </row>
    <row r="292" spans="1:14">
      <c r="A292" s="104">
        <v>664757</v>
      </c>
      <c r="B292" s="94">
        <v>30645</v>
      </c>
      <c r="C292" s="94">
        <v>7791813555094</v>
      </c>
      <c r="D292" s="1" t="s">
        <v>720</v>
      </c>
      <c r="E292" s="95">
        <v>3923.08</v>
      </c>
      <c r="F292" s="95">
        <v>2550.002</v>
      </c>
      <c r="G292" s="96">
        <v>-1373.078</v>
      </c>
      <c r="H292" s="1" t="s">
        <v>14</v>
      </c>
      <c r="I292" s="1" t="s">
        <v>15</v>
      </c>
      <c r="J292" s="17">
        <v>46206</v>
      </c>
      <c r="K292" s="17">
        <v>46234</v>
      </c>
      <c r="L292" s="3" t="s">
        <v>16</v>
      </c>
      <c r="M292" s="30"/>
      <c r="N292" s="30"/>
    </row>
    <row r="293" spans="1:14">
      <c r="A293" s="104">
        <v>1897</v>
      </c>
      <c r="B293" s="94">
        <v>47489</v>
      </c>
      <c r="C293" s="94">
        <v>7791813423522</v>
      </c>
      <c r="D293" s="1" t="s">
        <v>721</v>
      </c>
      <c r="E293" s="95">
        <v>3923.08</v>
      </c>
      <c r="F293" s="95">
        <v>2550.002</v>
      </c>
      <c r="G293" s="96">
        <v>-1373.078</v>
      </c>
      <c r="H293" s="1" t="s">
        <v>14</v>
      </c>
      <c r="I293" s="1" t="s">
        <v>15</v>
      </c>
      <c r="J293" s="17">
        <v>46206</v>
      </c>
      <c r="K293" s="17">
        <v>46234</v>
      </c>
      <c r="L293" s="3" t="s">
        <v>16</v>
      </c>
      <c r="M293" s="30"/>
      <c r="N293" s="30"/>
    </row>
    <row r="294" spans="1:14">
      <c r="A294" s="104">
        <v>667278</v>
      </c>
      <c r="B294" s="94">
        <v>47488</v>
      </c>
      <c r="C294" s="94">
        <v>7791813422389</v>
      </c>
      <c r="D294" s="1" t="s">
        <v>722</v>
      </c>
      <c r="E294" s="95">
        <v>3923.08</v>
      </c>
      <c r="F294" s="95">
        <v>2550.002</v>
      </c>
      <c r="G294" s="96">
        <v>-1373.078</v>
      </c>
      <c r="H294" s="1" t="s">
        <v>14</v>
      </c>
      <c r="I294" s="1" t="s">
        <v>15</v>
      </c>
      <c r="J294" s="17">
        <v>46206</v>
      </c>
      <c r="K294" s="17">
        <v>46234</v>
      </c>
      <c r="L294" s="3" t="s">
        <v>16</v>
      </c>
      <c r="M294" s="30"/>
      <c r="N294" s="30"/>
    </row>
    <row r="295" spans="1:14">
      <c r="A295" s="104">
        <v>1917</v>
      </c>
      <c r="B295" s="94">
        <v>7475</v>
      </c>
      <c r="C295" s="94">
        <v>7791813421382</v>
      </c>
      <c r="D295" s="1" t="s">
        <v>723</v>
      </c>
      <c r="E295" s="95">
        <v>3598.33</v>
      </c>
      <c r="F295" s="95">
        <v>2158.998</v>
      </c>
      <c r="G295" s="96">
        <v>-1439.3319999999999</v>
      </c>
      <c r="H295" s="1" t="s">
        <v>14</v>
      </c>
      <c r="I295" s="1" t="s">
        <v>724</v>
      </c>
      <c r="J295" s="17">
        <v>46206</v>
      </c>
      <c r="K295" s="17">
        <v>46234</v>
      </c>
      <c r="L295" s="3" t="s">
        <v>16</v>
      </c>
      <c r="M295" s="30"/>
      <c r="N295" s="30"/>
    </row>
    <row r="296" spans="1:14">
      <c r="A296" s="1">
        <v>1905</v>
      </c>
      <c r="B296" s="1">
        <v>7476</v>
      </c>
      <c r="C296" s="94">
        <v>7791813421368</v>
      </c>
      <c r="D296" s="1" t="s">
        <v>725</v>
      </c>
      <c r="E296" s="95">
        <v>3598.33</v>
      </c>
      <c r="F296" s="49">
        <v>2158.998</v>
      </c>
      <c r="G296" s="96">
        <v>-1439.3319999999999</v>
      </c>
      <c r="H296" s="1" t="s">
        <v>14</v>
      </c>
      <c r="I296" s="1" t="s">
        <v>724</v>
      </c>
      <c r="J296" s="17">
        <v>46206</v>
      </c>
      <c r="K296" s="3">
        <v>46234</v>
      </c>
      <c r="L296" s="3" t="s">
        <v>16</v>
      </c>
      <c r="M296" s="30"/>
      <c r="N296" s="30"/>
    </row>
    <row r="297" spans="1:14">
      <c r="A297" s="1">
        <v>665735</v>
      </c>
      <c r="B297" s="1">
        <v>30789</v>
      </c>
      <c r="C297" s="94">
        <v>7791813828464</v>
      </c>
      <c r="D297" s="1" t="s">
        <v>726</v>
      </c>
      <c r="E297" s="95">
        <v>3980</v>
      </c>
      <c r="F297" s="49">
        <v>1990</v>
      </c>
      <c r="G297" s="96">
        <v>-1990</v>
      </c>
      <c r="H297" s="1" t="s">
        <v>14</v>
      </c>
      <c r="I297" s="1" t="s">
        <v>638</v>
      </c>
      <c r="J297" s="17">
        <v>46206</v>
      </c>
      <c r="K297" s="3">
        <v>46234</v>
      </c>
      <c r="L297" s="3" t="s">
        <v>16</v>
      </c>
      <c r="M297" s="30"/>
      <c r="N297" s="30"/>
    </row>
    <row r="298" spans="1:14">
      <c r="A298" s="1">
        <v>14149</v>
      </c>
      <c r="B298" s="1">
        <v>30648</v>
      </c>
      <c r="C298" s="94">
        <v>7791813050117</v>
      </c>
      <c r="D298" s="1" t="s">
        <v>727</v>
      </c>
      <c r="E298" s="95">
        <v>1980</v>
      </c>
      <c r="F298" s="49">
        <v>990</v>
      </c>
      <c r="G298" s="96">
        <v>-990</v>
      </c>
      <c r="H298" s="1" t="s">
        <v>14</v>
      </c>
      <c r="I298" s="1" t="s">
        <v>638</v>
      </c>
      <c r="J298" s="17">
        <v>46206</v>
      </c>
      <c r="K298" s="3">
        <v>46234</v>
      </c>
      <c r="L298" s="3" t="s">
        <v>16</v>
      </c>
      <c r="M298" s="30"/>
      <c r="N298" s="30"/>
    </row>
    <row r="299" spans="1:14">
      <c r="A299" s="1">
        <v>18223</v>
      </c>
      <c r="B299" s="1">
        <v>30793</v>
      </c>
      <c r="C299" s="94">
        <v>7791813050995</v>
      </c>
      <c r="D299" s="1" t="s">
        <v>728</v>
      </c>
      <c r="E299" s="95">
        <v>1980</v>
      </c>
      <c r="F299" s="49">
        <v>990</v>
      </c>
      <c r="G299" s="96">
        <v>-990</v>
      </c>
      <c r="H299" s="1" t="s">
        <v>14</v>
      </c>
      <c r="I299" s="1" t="s">
        <v>638</v>
      </c>
      <c r="J299" s="17">
        <v>46206</v>
      </c>
      <c r="K299" s="3">
        <v>46234</v>
      </c>
      <c r="L299" s="3" t="s">
        <v>16</v>
      </c>
      <c r="M299" s="30"/>
      <c r="N299" s="30"/>
    </row>
    <row r="300" spans="1:14">
      <c r="A300" s="1">
        <v>865</v>
      </c>
      <c r="B300" s="1">
        <v>14933</v>
      </c>
      <c r="C300" s="94">
        <v>7792799000011</v>
      </c>
      <c r="D300" s="1" t="s">
        <v>729</v>
      </c>
      <c r="E300" s="95">
        <v>2247.5</v>
      </c>
      <c r="F300" s="49">
        <v>1123.75</v>
      </c>
      <c r="G300" s="96">
        <v>-1123.75</v>
      </c>
      <c r="H300" s="1" t="s">
        <v>14</v>
      </c>
      <c r="I300" s="1" t="s">
        <v>638</v>
      </c>
      <c r="J300" s="17">
        <v>46206</v>
      </c>
      <c r="K300" s="3">
        <v>46234</v>
      </c>
      <c r="L300" s="3" t="s">
        <v>16</v>
      </c>
      <c r="M300" s="30"/>
      <c r="N300" s="30"/>
    </row>
    <row r="301" spans="1:14">
      <c r="A301" s="1">
        <v>863</v>
      </c>
      <c r="B301" s="1">
        <v>2439</v>
      </c>
      <c r="C301" s="94">
        <v>7792799000059</v>
      </c>
      <c r="D301" s="1" t="s">
        <v>730</v>
      </c>
      <c r="E301" s="95">
        <v>3050</v>
      </c>
      <c r="F301" s="49">
        <v>1525</v>
      </c>
      <c r="G301" s="49">
        <v>-1525</v>
      </c>
      <c r="H301" s="1" t="s">
        <v>14</v>
      </c>
      <c r="I301" s="1" t="s">
        <v>638</v>
      </c>
      <c r="J301" s="17">
        <v>46217</v>
      </c>
      <c r="K301" s="3">
        <v>46234</v>
      </c>
      <c r="L301" s="3" t="s">
        <v>16</v>
      </c>
      <c r="M301" s="30"/>
      <c r="N301" s="30"/>
    </row>
    <row r="302" spans="1:14">
      <c r="A302" s="1">
        <v>9216</v>
      </c>
      <c r="B302" s="1">
        <v>655</v>
      </c>
      <c r="C302" s="94">
        <v>7790895067570</v>
      </c>
      <c r="D302" s="1" t="s">
        <v>689</v>
      </c>
      <c r="E302" s="95">
        <v>4800.1809999999996</v>
      </c>
      <c r="F302" s="49">
        <v>3600.1357499999995</v>
      </c>
      <c r="G302" s="96">
        <v>-1200.0452500000001</v>
      </c>
      <c r="H302" s="1" t="s">
        <v>14</v>
      </c>
      <c r="I302" s="1" t="s">
        <v>18</v>
      </c>
      <c r="J302" s="17">
        <v>46212</v>
      </c>
      <c r="K302" s="3">
        <v>46215</v>
      </c>
      <c r="L302" s="3" t="s">
        <v>16</v>
      </c>
      <c r="M302" s="30"/>
      <c r="N302" s="30"/>
    </row>
    <row r="303" spans="1:14">
      <c r="A303" s="1">
        <v>1187</v>
      </c>
      <c r="B303" s="1">
        <v>327</v>
      </c>
      <c r="C303" s="94">
        <v>7790895000997</v>
      </c>
      <c r="D303" s="1" t="s">
        <v>690</v>
      </c>
      <c r="E303" s="95">
        <v>4800.1809999999996</v>
      </c>
      <c r="F303" s="49">
        <v>3600.1357499999995</v>
      </c>
      <c r="G303" s="96">
        <v>-1200.0452500000001</v>
      </c>
      <c r="H303" s="1" t="s">
        <v>14</v>
      </c>
      <c r="I303" s="1" t="s">
        <v>18</v>
      </c>
      <c r="J303" s="17">
        <v>46212</v>
      </c>
      <c r="K303" s="3">
        <v>46215</v>
      </c>
      <c r="L303" s="3" t="s">
        <v>16</v>
      </c>
      <c r="M303" s="30"/>
      <c r="N303" s="30"/>
    </row>
    <row r="304" spans="1:14">
      <c r="A304" s="1">
        <v>1204</v>
      </c>
      <c r="B304" s="1">
        <v>1195</v>
      </c>
      <c r="C304" s="94">
        <v>7790895001017</v>
      </c>
      <c r="D304" s="1" t="s">
        <v>691</v>
      </c>
      <c r="E304" s="95">
        <v>4600.1790000000001</v>
      </c>
      <c r="F304" s="49">
        <v>3220.1252999999997</v>
      </c>
      <c r="G304" s="96">
        <v>-1380.0537000000004</v>
      </c>
      <c r="H304" s="1" t="s">
        <v>17</v>
      </c>
      <c r="I304" s="1" t="s">
        <v>93</v>
      </c>
      <c r="J304" s="17">
        <v>46212</v>
      </c>
      <c r="K304" s="3">
        <v>46215</v>
      </c>
      <c r="L304" s="3" t="s">
        <v>16</v>
      </c>
    </row>
    <row r="305" spans="1:12">
      <c r="A305" s="1">
        <v>1214</v>
      </c>
      <c r="B305" s="1">
        <v>2427</v>
      </c>
      <c r="C305" s="94">
        <v>7790895001000</v>
      </c>
      <c r="D305" s="1" t="s">
        <v>692</v>
      </c>
      <c r="E305" s="95">
        <v>4600.1239999999998</v>
      </c>
      <c r="F305" s="49">
        <v>3220.0867999999996</v>
      </c>
      <c r="G305" s="96">
        <v>-1380.0372000000002</v>
      </c>
      <c r="H305" s="1" t="s">
        <v>17</v>
      </c>
      <c r="I305" s="1" t="s">
        <v>93</v>
      </c>
      <c r="J305" s="17">
        <v>46212</v>
      </c>
      <c r="K305" s="3">
        <v>46215</v>
      </c>
      <c r="L305" s="3" t="s">
        <v>16</v>
      </c>
    </row>
    <row r="306" spans="1:12">
      <c r="A306" s="1">
        <v>662020</v>
      </c>
      <c r="B306" s="1">
        <v>3175</v>
      </c>
      <c r="C306" s="94">
        <v>7790895004667</v>
      </c>
      <c r="D306" s="1" t="s">
        <v>693</v>
      </c>
      <c r="E306" s="95">
        <v>3600.1390000000001</v>
      </c>
      <c r="F306" s="49">
        <v>2520.0972999999999</v>
      </c>
      <c r="G306" s="96">
        <v>-1080.0417000000002</v>
      </c>
      <c r="H306" s="1" t="s">
        <v>17</v>
      </c>
      <c r="I306" s="1" t="s">
        <v>93</v>
      </c>
      <c r="J306" s="17">
        <v>46212</v>
      </c>
      <c r="K306" s="3">
        <v>46215</v>
      </c>
      <c r="L306" s="3" t="s">
        <v>16</v>
      </c>
    </row>
    <row r="307" spans="1:12">
      <c r="A307" s="1">
        <v>6617</v>
      </c>
      <c r="B307" s="1">
        <v>3993</v>
      </c>
      <c r="C307" s="94">
        <v>7790895064340</v>
      </c>
      <c r="D307" s="1" t="s">
        <v>1335</v>
      </c>
      <c r="E307" s="95">
        <v>2600.0740000000001</v>
      </c>
      <c r="F307" s="49">
        <v>1950.0554999999999</v>
      </c>
      <c r="G307" s="96">
        <v>-650.01850000000013</v>
      </c>
      <c r="H307" s="1" t="s">
        <v>17</v>
      </c>
      <c r="I307" s="1" t="s">
        <v>23</v>
      </c>
      <c r="J307" s="17">
        <v>46212</v>
      </c>
      <c r="K307" s="3">
        <v>46215</v>
      </c>
      <c r="L307" s="3" t="s">
        <v>16</v>
      </c>
    </row>
    <row r="308" spans="1:12">
      <c r="A308" s="1">
        <v>8987</v>
      </c>
      <c r="B308" s="1">
        <v>3995</v>
      </c>
      <c r="C308" s="94">
        <v>7790895065217</v>
      </c>
      <c r="D308" s="1" t="s">
        <v>1336</v>
      </c>
      <c r="E308" s="95">
        <v>2600.0740000000001</v>
      </c>
      <c r="F308" s="49">
        <v>1950.0554999999999</v>
      </c>
      <c r="G308" s="96">
        <v>-650.01850000000013</v>
      </c>
      <c r="H308" s="1" t="s">
        <v>17</v>
      </c>
      <c r="I308" s="1" t="s">
        <v>23</v>
      </c>
      <c r="J308" s="17">
        <v>46212</v>
      </c>
      <c r="K308" s="3">
        <v>46215</v>
      </c>
      <c r="L308" s="3" t="s">
        <v>16</v>
      </c>
    </row>
    <row r="309" spans="1:12">
      <c r="A309" s="1">
        <v>3368</v>
      </c>
      <c r="B309" s="1">
        <v>3997</v>
      </c>
      <c r="C309" s="94">
        <v>7790895064333</v>
      </c>
      <c r="D309" s="1" t="s">
        <v>1337</v>
      </c>
      <c r="E309" s="95">
        <v>2600.0740000000001</v>
      </c>
      <c r="F309" s="49">
        <v>1950.0554999999999</v>
      </c>
      <c r="G309" s="96">
        <v>-650.01850000000013</v>
      </c>
      <c r="H309" s="1" t="s">
        <v>17</v>
      </c>
      <c r="I309" s="1" t="s">
        <v>23</v>
      </c>
      <c r="J309" s="17">
        <v>46212</v>
      </c>
      <c r="K309" s="3">
        <v>46215</v>
      </c>
      <c r="L309" s="3" t="s">
        <v>16</v>
      </c>
    </row>
    <row r="310" spans="1:12">
      <c r="A310" s="1">
        <v>4443</v>
      </c>
      <c r="B310" s="1">
        <v>4227</v>
      </c>
      <c r="C310" s="94">
        <v>7790895641237</v>
      </c>
      <c r="D310" s="1" t="s">
        <v>1338</v>
      </c>
      <c r="E310" s="95">
        <v>2650.0659999999998</v>
      </c>
      <c r="F310" s="49">
        <v>1987.5494999999999</v>
      </c>
      <c r="G310" s="96">
        <v>-662.51649999999995</v>
      </c>
      <c r="H310" s="1" t="s">
        <v>17</v>
      </c>
      <c r="I310" s="1" t="s">
        <v>23</v>
      </c>
      <c r="J310" s="17">
        <v>46212</v>
      </c>
      <c r="K310" s="3">
        <v>46215</v>
      </c>
      <c r="L310" s="3" t="s">
        <v>16</v>
      </c>
    </row>
    <row r="311" spans="1:12">
      <c r="A311" s="1">
        <v>6344</v>
      </c>
      <c r="B311" s="1">
        <v>4230</v>
      </c>
      <c r="C311" s="94">
        <v>7790895004049</v>
      </c>
      <c r="D311" s="1" t="s">
        <v>1339</v>
      </c>
      <c r="E311" s="95">
        <v>2650.0659999999998</v>
      </c>
      <c r="F311" s="61">
        <v>1987.5494999999999</v>
      </c>
      <c r="G311" s="96">
        <v>-662.51649999999995</v>
      </c>
      <c r="H311" s="1" t="s">
        <v>17</v>
      </c>
      <c r="I311" s="1" t="s">
        <v>23</v>
      </c>
      <c r="J311" s="17">
        <v>46212</v>
      </c>
      <c r="K311" s="3">
        <v>46215</v>
      </c>
      <c r="L311" s="3" t="s">
        <v>16</v>
      </c>
    </row>
    <row r="312" spans="1:12">
      <c r="A312" s="1">
        <v>6720</v>
      </c>
      <c r="B312" s="1">
        <v>4226</v>
      </c>
      <c r="C312" s="94">
        <v>7790895008498</v>
      </c>
      <c r="D312" s="1" t="s">
        <v>1340</v>
      </c>
      <c r="E312" s="95">
        <v>2561.779</v>
      </c>
      <c r="F312" s="61">
        <v>1921.3342499999999</v>
      </c>
      <c r="G312" s="96">
        <v>-640.44475000000011</v>
      </c>
      <c r="H312" s="1" t="s">
        <v>17</v>
      </c>
      <c r="I312" s="1" t="s">
        <v>23</v>
      </c>
      <c r="J312" s="17">
        <v>46212</v>
      </c>
      <c r="K312" s="3">
        <v>46215</v>
      </c>
      <c r="L312" s="3" t="s">
        <v>16</v>
      </c>
    </row>
    <row r="313" spans="1:12">
      <c r="A313" s="1">
        <v>12617</v>
      </c>
      <c r="B313" s="1">
        <v>4223</v>
      </c>
      <c r="C313" s="94">
        <v>7790895640476</v>
      </c>
      <c r="D313" s="1" t="s">
        <v>1341</v>
      </c>
      <c r="E313" s="95">
        <v>2650.0659999999998</v>
      </c>
      <c r="F313" s="49">
        <v>1987.5494999999999</v>
      </c>
      <c r="G313" s="96">
        <v>-662.51649999999995</v>
      </c>
      <c r="H313" s="1" t="s">
        <v>17</v>
      </c>
      <c r="I313" s="1" t="s">
        <v>23</v>
      </c>
      <c r="J313" s="17">
        <v>46212</v>
      </c>
      <c r="K313" s="3">
        <v>46215</v>
      </c>
      <c r="L313" s="3" t="s">
        <v>16</v>
      </c>
    </row>
    <row r="314" spans="1:12">
      <c r="A314" s="1">
        <v>12618</v>
      </c>
      <c r="B314" s="1">
        <v>4225</v>
      </c>
      <c r="C314" s="94">
        <v>7790895640483</v>
      </c>
      <c r="D314" s="1" t="s">
        <v>1342</v>
      </c>
      <c r="E314" s="95">
        <v>2650.0659999999998</v>
      </c>
      <c r="F314" s="49">
        <v>1987.5494999999999</v>
      </c>
      <c r="G314" s="96">
        <v>-662.51649999999995</v>
      </c>
      <c r="H314" s="1" t="s">
        <v>17</v>
      </c>
      <c r="I314" s="1" t="s">
        <v>23</v>
      </c>
      <c r="J314" s="17">
        <v>46212</v>
      </c>
      <c r="K314" s="3">
        <v>46215</v>
      </c>
      <c r="L314" s="3" t="s">
        <v>16</v>
      </c>
    </row>
    <row r="315" spans="1:12">
      <c r="A315" s="1">
        <v>12619</v>
      </c>
      <c r="B315" s="1">
        <v>4221</v>
      </c>
      <c r="C315" s="94">
        <v>7790895640490</v>
      </c>
      <c r="D315" s="1" t="s">
        <v>1343</v>
      </c>
      <c r="E315" s="95">
        <v>2650.0659999999998</v>
      </c>
      <c r="F315" s="49">
        <v>1987.5494999999999</v>
      </c>
      <c r="G315" s="96">
        <v>-662.51649999999995</v>
      </c>
      <c r="H315" s="1" t="s">
        <v>17</v>
      </c>
      <c r="I315" s="1" t="s">
        <v>23</v>
      </c>
      <c r="J315" s="17">
        <v>46212</v>
      </c>
      <c r="K315" s="3">
        <v>46215</v>
      </c>
      <c r="L315" s="3" t="s">
        <v>16</v>
      </c>
    </row>
    <row r="316" spans="1:12">
      <c r="A316" s="1">
        <v>663982</v>
      </c>
      <c r="B316" s="1">
        <v>4229</v>
      </c>
      <c r="C316" s="94">
        <v>7790895641220</v>
      </c>
      <c r="D316" s="1" t="s">
        <v>1344</v>
      </c>
      <c r="E316" s="95">
        <v>2600.0740000000001</v>
      </c>
      <c r="F316" s="49">
        <v>1950.0554999999999</v>
      </c>
      <c r="G316" s="96">
        <v>-650.01850000000013</v>
      </c>
      <c r="H316" s="1" t="s">
        <v>17</v>
      </c>
      <c r="I316" s="1" t="s">
        <v>23</v>
      </c>
      <c r="J316" s="17">
        <v>46212</v>
      </c>
      <c r="K316" s="3">
        <v>46215</v>
      </c>
      <c r="L316" s="3" t="s">
        <v>16</v>
      </c>
    </row>
    <row r="317" spans="1:12">
      <c r="A317" s="1">
        <v>666579</v>
      </c>
      <c r="B317" s="1">
        <v>4220</v>
      </c>
      <c r="C317" s="94">
        <v>7790895651151</v>
      </c>
      <c r="D317" s="1" t="s">
        <v>1345</v>
      </c>
      <c r="E317" s="95">
        <v>2650.0970000000002</v>
      </c>
      <c r="F317" s="49">
        <v>1987.5727500000003</v>
      </c>
      <c r="G317" s="96">
        <v>-662.52424999999994</v>
      </c>
      <c r="H317" s="1" t="s">
        <v>17</v>
      </c>
      <c r="I317" s="1" t="s">
        <v>23</v>
      </c>
      <c r="J317" s="17">
        <v>46212</v>
      </c>
      <c r="K317" s="3">
        <v>46215</v>
      </c>
      <c r="L317" s="3" t="s">
        <v>16</v>
      </c>
    </row>
    <row r="318" spans="1:12">
      <c r="A318" s="1">
        <v>13314</v>
      </c>
      <c r="B318" s="1">
        <v>3860</v>
      </c>
      <c r="C318" s="94">
        <v>70847012832</v>
      </c>
      <c r="D318" s="1" t="s">
        <v>1346</v>
      </c>
      <c r="E318" s="95">
        <v>3104.665</v>
      </c>
      <c r="F318" s="49">
        <v>2638.9652499999997</v>
      </c>
      <c r="G318" s="96">
        <v>-776.16625000000022</v>
      </c>
      <c r="H318" s="1" t="s">
        <v>17</v>
      </c>
      <c r="I318" s="1" t="s">
        <v>69</v>
      </c>
      <c r="J318" s="17">
        <v>46212</v>
      </c>
      <c r="K318" s="3">
        <v>46215</v>
      </c>
      <c r="L318" s="3" t="s">
        <v>16</v>
      </c>
    </row>
    <row r="319" spans="1:12">
      <c r="A319" s="1">
        <v>12982</v>
      </c>
      <c r="B319" s="1">
        <v>3862</v>
      </c>
      <c r="C319" s="94">
        <v>1007084703475</v>
      </c>
      <c r="D319" s="1" t="s">
        <v>1347</v>
      </c>
      <c r="E319" s="95">
        <v>3104.654</v>
      </c>
      <c r="F319" s="49">
        <v>2638.9558999999999</v>
      </c>
      <c r="G319" s="96">
        <v>-776.16350000000011</v>
      </c>
      <c r="H319" s="1" t="s">
        <v>17</v>
      </c>
      <c r="I319" s="1" t="s">
        <v>69</v>
      </c>
      <c r="J319" s="17">
        <v>46212</v>
      </c>
      <c r="K319" s="3">
        <v>46215</v>
      </c>
      <c r="L319" s="3" t="s">
        <v>16</v>
      </c>
    </row>
    <row r="320" spans="1:12">
      <c r="A320" s="1">
        <v>19662</v>
      </c>
      <c r="B320" s="1">
        <v>3865</v>
      </c>
      <c r="C320" s="94">
        <v>1007084703703</v>
      </c>
      <c r="D320" s="1" t="s">
        <v>1348</v>
      </c>
      <c r="E320" s="95">
        <v>3104.549</v>
      </c>
      <c r="F320" s="49">
        <v>2638.8666499999999</v>
      </c>
      <c r="G320" s="96">
        <v>-776.13724999999977</v>
      </c>
      <c r="H320" s="1" t="s">
        <v>17</v>
      </c>
      <c r="I320" s="1" t="s">
        <v>69</v>
      </c>
      <c r="J320" s="17">
        <v>46212</v>
      </c>
      <c r="K320" s="3">
        <v>46215</v>
      </c>
      <c r="L320" s="3" t="s">
        <v>16</v>
      </c>
    </row>
    <row r="321" spans="1:12">
      <c r="A321" s="1">
        <v>658421</v>
      </c>
      <c r="B321" s="1">
        <v>3861</v>
      </c>
      <c r="C321" s="94">
        <v>70847032861</v>
      </c>
      <c r="D321" s="1" t="s">
        <v>1349</v>
      </c>
      <c r="E321" s="95">
        <v>3104.4690000000001</v>
      </c>
      <c r="F321" s="49">
        <v>2638.7986500000002</v>
      </c>
      <c r="G321" s="96">
        <v>-776.11725000000024</v>
      </c>
      <c r="H321" s="1" t="s">
        <v>17</v>
      </c>
      <c r="I321" s="1" t="s">
        <v>69</v>
      </c>
      <c r="J321" s="17">
        <v>46212</v>
      </c>
      <c r="K321" s="3">
        <v>46215</v>
      </c>
      <c r="L321" s="3" t="s">
        <v>16</v>
      </c>
    </row>
    <row r="322" spans="1:12">
      <c r="A322" s="1">
        <v>661191</v>
      </c>
      <c r="B322" s="1">
        <v>3866</v>
      </c>
      <c r="C322" s="94">
        <v>1007084702751</v>
      </c>
      <c r="D322" s="1" t="s">
        <v>1350</v>
      </c>
      <c r="E322" s="95">
        <v>3104.558</v>
      </c>
      <c r="F322" s="49">
        <v>2638.8742999999999</v>
      </c>
      <c r="G322" s="96">
        <v>-776.13950000000023</v>
      </c>
      <c r="H322" s="1" t="s">
        <v>17</v>
      </c>
      <c r="I322" s="1" t="s">
        <v>69</v>
      </c>
      <c r="J322" s="17">
        <v>46212</v>
      </c>
      <c r="K322" s="3">
        <v>46215</v>
      </c>
      <c r="L322" s="3" t="s">
        <v>16</v>
      </c>
    </row>
    <row r="323" spans="1:12">
      <c r="A323" s="1">
        <v>661900</v>
      </c>
      <c r="B323" s="1">
        <v>3867</v>
      </c>
      <c r="C323" s="94">
        <v>1007084703123</v>
      </c>
      <c r="D323" s="1" t="s">
        <v>1351</v>
      </c>
      <c r="E323" s="95">
        <v>3104.4189999999999</v>
      </c>
      <c r="F323" s="49">
        <v>2638.7561499999997</v>
      </c>
      <c r="G323" s="96">
        <v>-776.10474999999997</v>
      </c>
      <c r="H323" s="1" t="s">
        <v>17</v>
      </c>
      <c r="I323" s="1" t="s">
        <v>69</v>
      </c>
      <c r="J323" s="17">
        <v>46212</v>
      </c>
      <c r="K323" s="3">
        <v>46215</v>
      </c>
      <c r="L323" s="3" t="s">
        <v>16</v>
      </c>
    </row>
    <row r="324" spans="1:12">
      <c r="A324" s="1">
        <v>663913</v>
      </c>
      <c r="B324" s="1">
        <v>3868</v>
      </c>
      <c r="C324" s="94">
        <v>1007084789417</v>
      </c>
      <c r="D324" s="1" t="s">
        <v>1352</v>
      </c>
      <c r="E324" s="95">
        <v>3104.3780000000002</v>
      </c>
      <c r="F324" s="49">
        <v>2638.7213000000002</v>
      </c>
      <c r="G324" s="96">
        <v>-776.09450000000015</v>
      </c>
      <c r="H324" s="1" t="s">
        <v>17</v>
      </c>
      <c r="I324" s="1" t="s">
        <v>69</v>
      </c>
      <c r="J324" s="17">
        <v>46212</v>
      </c>
      <c r="K324" s="3">
        <v>46215</v>
      </c>
      <c r="L324" s="3" t="s">
        <v>16</v>
      </c>
    </row>
    <row r="325" spans="1:12">
      <c r="A325" s="1">
        <v>664915</v>
      </c>
      <c r="B325" s="1">
        <v>3869</v>
      </c>
      <c r="C325" s="94">
        <v>7798422620090</v>
      </c>
      <c r="D325" s="1" t="s">
        <v>1353</v>
      </c>
      <c r="E325" s="95">
        <v>3104.6889999999999</v>
      </c>
      <c r="F325" s="49">
        <v>2638.9856499999996</v>
      </c>
      <c r="G325" s="96">
        <v>-776.17225000000008</v>
      </c>
      <c r="H325" s="1" t="s">
        <v>17</v>
      </c>
      <c r="I325" s="1" t="s">
        <v>69</v>
      </c>
      <c r="J325" s="17">
        <v>46212</v>
      </c>
      <c r="K325" s="3">
        <v>46215</v>
      </c>
      <c r="L325" s="3" t="s">
        <v>16</v>
      </c>
    </row>
    <row r="326" spans="1:12">
      <c r="A326" s="1">
        <v>666369</v>
      </c>
      <c r="B326" s="1">
        <v>3870</v>
      </c>
      <c r="C326" s="94">
        <v>7798422620120</v>
      </c>
      <c r="D326" s="1" t="s">
        <v>1354</v>
      </c>
      <c r="E326" s="95">
        <v>3104.5949999999998</v>
      </c>
      <c r="F326" s="49">
        <v>2638.9057499999999</v>
      </c>
      <c r="G326" s="96">
        <v>-776.14874999999984</v>
      </c>
      <c r="H326" s="1" t="s">
        <v>17</v>
      </c>
      <c r="I326" s="1" t="s">
        <v>69</v>
      </c>
      <c r="J326" s="17">
        <v>46212</v>
      </c>
      <c r="K326" s="3">
        <v>46215</v>
      </c>
      <c r="L326" s="3" t="s">
        <v>16</v>
      </c>
    </row>
    <row r="327" spans="1:12">
      <c r="A327" s="1">
        <v>667114</v>
      </c>
      <c r="B327" s="1">
        <v>6690</v>
      </c>
      <c r="C327" s="94">
        <v>7898953990430</v>
      </c>
      <c r="D327" s="1" t="s">
        <v>715</v>
      </c>
      <c r="E327" s="95">
        <v>3500.0219999999999</v>
      </c>
      <c r="F327" s="49">
        <v>2625.0164999999997</v>
      </c>
      <c r="G327" s="96">
        <v>-875.00550000000021</v>
      </c>
      <c r="H327" s="1" t="s">
        <v>17</v>
      </c>
      <c r="I327" s="1" t="s">
        <v>23</v>
      </c>
      <c r="J327" s="17">
        <v>46212</v>
      </c>
      <c r="K327" s="3">
        <v>46215</v>
      </c>
      <c r="L327" s="3" t="s">
        <v>16</v>
      </c>
    </row>
    <row r="328" spans="1:12">
      <c r="A328" s="1">
        <v>1187</v>
      </c>
      <c r="B328" s="1">
        <v>327</v>
      </c>
      <c r="C328" s="94">
        <v>7790895000997</v>
      </c>
      <c r="D328" s="1" t="s">
        <v>690</v>
      </c>
      <c r="E328" s="95">
        <v>4800.1809999999996</v>
      </c>
      <c r="F328" s="61">
        <v>3600.1357499999995</v>
      </c>
      <c r="G328" s="49">
        <v>-1200.0452500000001</v>
      </c>
      <c r="H328" s="1" t="s">
        <v>17</v>
      </c>
      <c r="I328" s="1" t="s">
        <v>23</v>
      </c>
      <c r="J328" s="17">
        <v>46219</v>
      </c>
      <c r="K328" s="3">
        <v>46223</v>
      </c>
      <c r="L328" s="3" t="s">
        <v>16</v>
      </c>
    </row>
    <row r="329" spans="1:12">
      <c r="A329" s="1">
        <v>9216</v>
      </c>
      <c r="B329" s="1">
        <v>655</v>
      </c>
      <c r="C329" s="94">
        <v>7790895067570</v>
      </c>
      <c r="D329" s="1" t="s">
        <v>689</v>
      </c>
      <c r="E329" s="95">
        <v>4800.1809999999996</v>
      </c>
      <c r="F329" s="49">
        <v>3600.1357499999995</v>
      </c>
      <c r="G329" s="49">
        <v>-1200.0452500000001</v>
      </c>
      <c r="H329" s="1" t="s">
        <v>17</v>
      </c>
      <c r="I329" s="1" t="s">
        <v>23</v>
      </c>
      <c r="J329" s="17">
        <v>46219</v>
      </c>
      <c r="K329" s="3">
        <v>46223</v>
      </c>
      <c r="L329" s="3" t="s">
        <v>16</v>
      </c>
    </row>
    <row r="330" spans="1:12">
      <c r="A330" s="1">
        <v>6803</v>
      </c>
      <c r="B330" s="1">
        <v>331</v>
      </c>
      <c r="C330" s="94">
        <v>7790895006418</v>
      </c>
      <c r="D330" s="1" t="s">
        <v>1445</v>
      </c>
      <c r="E330" s="95">
        <v>5800.22</v>
      </c>
      <c r="F330" s="49">
        <v>4350.165</v>
      </c>
      <c r="G330" s="49">
        <v>-1450.0550000000003</v>
      </c>
      <c r="H330" s="1" t="s">
        <v>17</v>
      </c>
      <c r="I330" s="1" t="s">
        <v>23</v>
      </c>
      <c r="J330" s="17">
        <v>46219</v>
      </c>
      <c r="K330" s="3">
        <v>46223</v>
      </c>
      <c r="L330" s="3" t="s">
        <v>16</v>
      </c>
    </row>
    <row r="331" spans="1:12">
      <c r="A331" s="1">
        <v>1204</v>
      </c>
      <c r="B331" s="1">
        <v>1195</v>
      </c>
      <c r="C331" s="94">
        <v>7790895001017</v>
      </c>
      <c r="D331" s="1" t="s">
        <v>691</v>
      </c>
      <c r="E331" s="95">
        <v>4600.1790000000001</v>
      </c>
      <c r="F331" s="49">
        <v>3220.1252999999997</v>
      </c>
      <c r="G331" s="49">
        <v>-1380.0537000000004</v>
      </c>
      <c r="H331" s="1" t="s">
        <v>17</v>
      </c>
      <c r="I331" s="1" t="s">
        <v>93</v>
      </c>
      <c r="J331" s="17">
        <v>46219</v>
      </c>
      <c r="K331" s="3">
        <v>46223</v>
      </c>
      <c r="L331" s="3" t="s">
        <v>16</v>
      </c>
    </row>
    <row r="332" spans="1:12">
      <c r="A332" s="1">
        <v>1214</v>
      </c>
      <c r="B332" s="1">
        <v>2427</v>
      </c>
      <c r="C332" s="94">
        <v>7790895001000</v>
      </c>
      <c r="D332" s="1" t="s">
        <v>692</v>
      </c>
      <c r="E332" s="95">
        <v>4600.1239999999998</v>
      </c>
      <c r="F332" s="49">
        <v>3220.0867999999996</v>
      </c>
      <c r="G332" s="49">
        <v>-1380.0372000000002</v>
      </c>
      <c r="H332" s="1" t="s">
        <v>17</v>
      </c>
      <c r="I332" s="1" t="s">
        <v>93</v>
      </c>
      <c r="J332" s="17">
        <v>46219</v>
      </c>
      <c r="K332" s="3">
        <v>46223</v>
      </c>
      <c r="L332" s="3" t="s">
        <v>16</v>
      </c>
    </row>
    <row r="333" spans="1:12">
      <c r="A333" s="1">
        <v>662020</v>
      </c>
      <c r="B333" s="1">
        <v>3175</v>
      </c>
      <c r="C333" s="94">
        <v>7790895004667</v>
      </c>
      <c r="D333" s="1" t="s">
        <v>693</v>
      </c>
      <c r="E333" s="95">
        <v>3600.1390000000001</v>
      </c>
      <c r="F333" s="49">
        <v>2520.0972999999999</v>
      </c>
      <c r="G333" s="49">
        <v>-1080.0417000000002</v>
      </c>
      <c r="H333" s="1" t="s">
        <v>17</v>
      </c>
      <c r="I333" s="1" t="s">
        <v>93</v>
      </c>
      <c r="J333" s="17">
        <v>46219</v>
      </c>
      <c r="K333" s="3">
        <v>46223</v>
      </c>
      <c r="L333" s="3" t="s">
        <v>16</v>
      </c>
    </row>
    <row r="334" spans="1:12">
      <c r="A334" s="1">
        <v>730</v>
      </c>
      <c r="B334" s="1">
        <v>3596</v>
      </c>
      <c r="C334" s="94">
        <v>7790895644320</v>
      </c>
      <c r="D334" s="1" t="s">
        <v>1446</v>
      </c>
      <c r="E334" s="95">
        <v>2800.1019999999999</v>
      </c>
      <c r="F334" s="49">
        <v>2100.0765000000001</v>
      </c>
      <c r="G334" s="49">
        <v>-700.02549999999974</v>
      </c>
      <c r="H334" s="1" t="s">
        <v>17</v>
      </c>
      <c r="I334" s="1" t="s">
        <v>23</v>
      </c>
      <c r="J334" s="17">
        <v>46219</v>
      </c>
      <c r="K334" s="3">
        <v>46223</v>
      </c>
      <c r="L334" s="3" t="s">
        <v>16</v>
      </c>
    </row>
    <row r="335" spans="1:12">
      <c r="A335" s="1">
        <v>20309</v>
      </c>
      <c r="B335" s="1">
        <v>3297</v>
      </c>
      <c r="C335" s="94">
        <v>7790895643019</v>
      </c>
      <c r="D335" s="1" t="s">
        <v>1447</v>
      </c>
      <c r="E335" s="95">
        <v>2800.1019999999999</v>
      </c>
      <c r="F335" s="49">
        <v>2100.0765000000001</v>
      </c>
      <c r="G335" s="49">
        <v>-700.02549999999974</v>
      </c>
      <c r="H335" s="1" t="s">
        <v>17</v>
      </c>
      <c r="I335" s="1" t="s">
        <v>23</v>
      </c>
      <c r="J335" s="17">
        <v>46219</v>
      </c>
      <c r="K335" s="3">
        <v>46223</v>
      </c>
      <c r="L335" s="3" t="s">
        <v>16</v>
      </c>
    </row>
    <row r="336" spans="1:12">
      <c r="A336" s="1">
        <v>20310</v>
      </c>
      <c r="B336" s="1">
        <v>3397</v>
      </c>
      <c r="C336" s="94">
        <v>7790895643026</v>
      </c>
      <c r="D336" s="1" t="s">
        <v>1448</v>
      </c>
      <c r="E336" s="95">
        <v>2800.1019999999999</v>
      </c>
      <c r="F336" s="49">
        <v>2100.0765000000001</v>
      </c>
      <c r="G336" s="49">
        <v>-700.02549999999974</v>
      </c>
      <c r="H336" s="1" t="s">
        <v>17</v>
      </c>
      <c r="I336" s="1" t="s">
        <v>23</v>
      </c>
      <c r="J336" s="17">
        <v>46219</v>
      </c>
      <c r="K336" s="3">
        <v>46223</v>
      </c>
      <c r="L336" s="3" t="s">
        <v>16</v>
      </c>
    </row>
    <row r="337" spans="1:12">
      <c r="A337" s="1">
        <v>20311</v>
      </c>
      <c r="B337" s="1">
        <v>3496</v>
      </c>
      <c r="C337" s="94">
        <v>7790895643033</v>
      </c>
      <c r="D337" s="1" t="s">
        <v>1449</v>
      </c>
      <c r="E337" s="95">
        <v>2800.07</v>
      </c>
      <c r="F337" s="49">
        <v>2100.0525000000002</v>
      </c>
      <c r="G337" s="49">
        <v>-700.01749999999993</v>
      </c>
      <c r="H337" s="1" t="s">
        <v>17</v>
      </c>
      <c r="I337" s="1" t="s">
        <v>23</v>
      </c>
      <c r="J337" s="17">
        <v>46219</v>
      </c>
      <c r="K337" s="3">
        <v>46223</v>
      </c>
      <c r="L337" s="3" t="s">
        <v>16</v>
      </c>
    </row>
    <row r="338" spans="1:12">
      <c r="A338" s="1">
        <v>11459</v>
      </c>
      <c r="B338" s="1">
        <v>2682</v>
      </c>
      <c r="C338" s="94">
        <v>7790895647703</v>
      </c>
      <c r="D338" s="1" t="s">
        <v>1450</v>
      </c>
      <c r="E338" s="95">
        <v>2200.0630000000001</v>
      </c>
      <c r="F338" s="49">
        <v>1430.0409500000001</v>
      </c>
      <c r="G338" s="49">
        <v>-770.02205000000004</v>
      </c>
      <c r="H338" s="1" t="s">
        <v>17</v>
      </c>
      <c r="I338" s="1" t="s">
        <v>111</v>
      </c>
      <c r="J338" s="17">
        <v>46219</v>
      </c>
      <c r="K338" s="3">
        <v>46223</v>
      </c>
      <c r="L338" s="3" t="s">
        <v>16</v>
      </c>
    </row>
    <row r="339" spans="1:12">
      <c r="A339" s="1">
        <v>4255</v>
      </c>
      <c r="B339" s="1">
        <v>4235</v>
      </c>
      <c r="C339" s="94">
        <v>7790895003301</v>
      </c>
      <c r="D339" s="1" t="s">
        <v>706</v>
      </c>
      <c r="E339" s="95">
        <v>3100.0819999999999</v>
      </c>
      <c r="F339" s="49">
        <v>2325.0614999999998</v>
      </c>
      <c r="G339" s="49">
        <v>-775.02050000000008</v>
      </c>
      <c r="H339" s="1" t="s">
        <v>17</v>
      </c>
      <c r="I339" s="1" t="s">
        <v>23</v>
      </c>
      <c r="J339" s="17">
        <v>46219</v>
      </c>
      <c r="K339" s="3">
        <v>46223</v>
      </c>
      <c r="L339" s="3" t="s">
        <v>16</v>
      </c>
    </row>
    <row r="340" spans="1:12">
      <c r="A340" s="1">
        <v>4433</v>
      </c>
      <c r="B340" s="1">
        <v>4236</v>
      </c>
      <c r="C340" s="94">
        <v>7790895008504</v>
      </c>
      <c r="D340" s="1" t="s">
        <v>707</v>
      </c>
      <c r="E340" s="95">
        <v>3100.0819999999999</v>
      </c>
      <c r="F340" s="49">
        <v>2325.0614999999998</v>
      </c>
      <c r="G340" s="49">
        <v>-775.02050000000008</v>
      </c>
      <c r="H340" s="1" t="s">
        <v>17</v>
      </c>
      <c r="I340" s="1" t="s">
        <v>23</v>
      </c>
      <c r="J340" s="17">
        <v>46219</v>
      </c>
      <c r="K340" s="3">
        <v>46223</v>
      </c>
      <c r="L340" s="3" t="s">
        <v>16</v>
      </c>
    </row>
    <row r="341" spans="1:12">
      <c r="A341" s="1">
        <v>7341</v>
      </c>
      <c r="B341" s="1">
        <v>4237</v>
      </c>
      <c r="C341" s="94">
        <v>7790895003325</v>
      </c>
      <c r="D341" s="1" t="s">
        <v>708</v>
      </c>
      <c r="E341" s="95">
        <v>3100.0819999999999</v>
      </c>
      <c r="F341" s="49">
        <v>2325.0614999999998</v>
      </c>
      <c r="G341" s="49">
        <v>-775.02050000000008</v>
      </c>
      <c r="H341" s="1" t="s">
        <v>17</v>
      </c>
      <c r="I341" s="1" t="s">
        <v>23</v>
      </c>
      <c r="J341" s="17">
        <v>46219</v>
      </c>
      <c r="K341" s="3">
        <v>46223</v>
      </c>
      <c r="L341" s="3" t="s">
        <v>16</v>
      </c>
    </row>
    <row r="342" spans="1:12">
      <c r="A342" s="1">
        <v>7413</v>
      </c>
      <c r="B342" s="1">
        <v>4231</v>
      </c>
      <c r="C342" s="94">
        <v>7790895003288</v>
      </c>
      <c r="D342" s="1" t="s">
        <v>709</v>
      </c>
      <c r="E342" s="95">
        <v>3100.0819999999999</v>
      </c>
      <c r="F342" s="49">
        <v>2325.0614999999998</v>
      </c>
      <c r="G342" s="49">
        <v>-775.02050000000008</v>
      </c>
      <c r="H342" s="1" t="s">
        <v>17</v>
      </c>
      <c r="I342" s="1" t="s">
        <v>23</v>
      </c>
      <c r="J342" s="17">
        <v>46219</v>
      </c>
      <c r="K342" s="3">
        <v>46223</v>
      </c>
      <c r="L342" s="3" t="s">
        <v>16</v>
      </c>
    </row>
    <row r="343" spans="1:12">
      <c r="A343" s="1">
        <v>7479</v>
      </c>
      <c r="B343" s="1">
        <v>4233</v>
      </c>
      <c r="C343" s="94">
        <v>7790895003295</v>
      </c>
      <c r="D343" s="1" t="s">
        <v>710</v>
      </c>
      <c r="E343" s="95">
        <v>3100.0819999999999</v>
      </c>
      <c r="F343" s="49">
        <v>2325.0614999999998</v>
      </c>
      <c r="G343" s="49">
        <v>-775.02050000000008</v>
      </c>
      <c r="H343" s="1" t="s">
        <v>17</v>
      </c>
      <c r="I343" s="1" t="s">
        <v>23</v>
      </c>
      <c r="J343" s="17">
        <v>46219</v>
      </c>
      <c r="K343" s="3">
        <v>46223</v>
      </c>
      <c r="L343" s="3" t="s">
        <v>16</v>
      </c>
    </row>
    <row r="344" spans="1:12">
      <c r="A344" s="1">
        <v>8771</v>
      </c>
      <c r="B344" s="1">
        <v>4240</v>
      </c>
      <c r="C344" s="94">
        <v>7790895004971</v>
      </c>
      <c r="D344" s="1" t="s">
        <v>711</v>
      </c>
      <c r="E344" s="95">
        <v>3100.0819999999999</v>
      </c>
      <c r="F344" s="49">
        <v>2325.0614999999998</v>
      </c>
      <c r="G344" s="49">
        <v>-775.02050000000008</v>
      </c>
      <c r="H344" s="1" t="s">
        <v>17</v>
      </c>
      <c r="I344" s="1" t="s">
        <v>23</v>
      </c>
      <c r="J344" s="17">
        <v>46219</v>
      </c>
      <c r="K344" s="3">
        <v>46223</v>
      </c>
      <c r="L344" s="3" t="s">
        <v>16</v>
      </c>
    </row>
    <row r="345" spans="1:12">
      <c r="A345" s="1">
        <v>11681</v>
      </c>
      <c r="B345" s="1">
        <v>4079</v>
      </c>
      <c r="C345" s="94">
        <v>7790895006104</v>
      </c>
      <c r="D345" s="1" t="s">
        <v>712</v>
      </c>
      <c r="E345" s="95">
        <v>3600.0050000000001</v>
      </c>
      <c r="F345" s="49">
        <v>2340.0032500000002</v>
      </c>
      <c r="G345" s="49">
        <v>-1260.0017499999999</v>
      </c>
      <c r="H345" s="1" t="s">
        <v>17</v>
      </c>
      <c r="I345" s="1" t="s">
        <v>111</v>
      </c>
      <c r="J345" s="17">
        <v>46219</v>
      </c>
      <c r="K345" s="3">
        <v>46223</v>
      </c>
      <c r="L345" s="3" t="s">
        <v>16</v>
      </c>
    </row>
    <row r="346" spans="1:12">
      <c r="A346" s="1">
        <v>11682</v>
      </c>
      <c r="B346" s="1">
        <v>4075</v>
      </c>
      <c r="C346" s="94">
        <v>7790895006029</v>
      </c>
      <c r="D346" s="1" t="s">
        <v>713</v>
      </c>
      <c r="E346" s="95">
        <v>3600.0050000000001</v>
      </c>
      <c r="F346" s="49">
        <v>2340.0032500000002</v>
      </c>
      <c r="G346" s="49">
        <v>-1260.0017499999999</v>
      </c>
      <c r="H346" s="1" t="s">
        <v>17</v>
      </c>
      <c r="I346" s="1" t="s">
        <v>111</v>
      </c>
      <c r="J346" s="17">
        <v>46219</v>
      </c>
      <c r="K346" s="3">
        <v>46223</v>
      </c>
      <c r="L346" s="3" t="s">
        <v>16</v>
      </c>
    </row>
    <row r="347" spans="1:12">
      <c r="A347" s="1">
        <v>664855</v>
      </c>
      <c r="B347" s="1">
        <v>4076</v>
      </c>
      <c r="C347" s="94">
        <v>7790895006036</v>
      </c>
      <c r="D347" s="1" t="s">
        <v>714</v>
      </c>
      <c r="E347" s="95">
        <v>3600.0050000000001</v>
      </c>
      <c r="F347" s="49">
        <v>2340.0032500000002</v>
      </c>
      <c r="G347" s="49">
        <v>-1260.0017499999999</v>
      </c>
      <c r="H347" s="1" t="s">
        <v>17</v>
      </c>
      <c r="I347" s="1" t="s">
        <v>111</v>
      </c>
      <c r="J347" s="17">
        <v>46219</v>
      </c>
      <c r="K347" s="3">
        <v>46223</v>
      </c>
      <c r="L347" s="3" t="s">
        <v>16</v>
      </c>
    </row>
    <row r="348" spans="1:12">
      <c r="A348" s="1">
        <v>667114</v>
      </c>
      <c r="B348" s="1">
        <v>6690</v>
      </c>
      <c r="C348" s="94">
        <v>7898953990430</v>
      </c>
      <c r="D348" s="1" t="s">
        <v>715</v>
      </c>
      <c r="E348" s="95">
        <v>3500.0219999999999</v>
      </c>
      <c r="F348" s="49">
        <v>2275.0142999999998</v>
      </c>
      <c r="G348" s="49">
        <v>-1225.0077000000001</v>
      </c>
      <c r="H348" s="1" t="s">
        <v>17</v>
      </c>
      <c r="I348" s="1" t="s">
        <v>111</v>
      </c>
      <c r="J348" s="17">
        <v>46219</v>
      </c>
      <c r="K348" s="3">
        <v>46223</v>
      </c>
      <c r="L348" s="3" t="s">
        <v>16</v>
      </c>
    </row>
    <row r="349" spans="1:12">
      <c r="A349" s="1">
        <v>13314</v>
      </c>
      <c r="B349" s="1">
        <v>3860</v>
      </c>
      <c r="C349" s="94">
        <v>70847012832</v>
      </c>
      <c r="D349" s="1" t="s">
        <v>1346</v>
      </c>
      <c r="E349" s="95">
        <v>3104.665</v>
      </c>
      <c r="F349" s="49">
        <v>2638.9652499999997</v>
      </c>
      <c r="G349" s="49">
        <v>-465.69975000000022</v>
      </c>
      <c r="H349" s="1" t="s">
        <v>17</v>
      </c>
      <c r="I349" s="1" t="s">
        <v>69</v>
      </c>
      <c r="J349" s="17">
        <v>46219</v>
      </c>
      <c r="K349" s="3">
        <v>46223</v>
      </c>
      <c r="L349" s="3" t="s">
        <v>16</v>
      </c>
    </row>
    <row r="350" spans="1:12">
      <c r="A350" s="1">
        <v>12982</v>
      </c>
      <c r="B350" s="1">
        <v>3862</v>
      </c>
      <c r="C350" s="94">
        <v>1007084703475</v>
      </c>
      <c r="D350" s="1" t="s">
        <v>1347</v>
      </c>
      <c r="E350" s="95">
        <v>3104.654</v>
      </c>
      <c r="F350" s="49">
        <v>2638.9558999999999</v>
      </c>
      <c r="G350" s="49">
        <v>-465.69810000000007</v>
      </c>
      <c r="H350" s="1" t="s">
        <v>17</v>
      </c>
      <c r="I350" s="1" t="s">
        <v>69</v>
      </c>
      <c r="J350" s="17">
        <v>46219</v>
      </c>
      <c r="K350" s="3">
        <v>46223</v>
      </c>
      <c r="L350" s="3" t="s">
        <v>16</v>
      </c>
    </row>
    <row r="351" spans="1:12">
      <c r="A351" s="1">
        <v>19662</v>
      </c>
      <c r="B351" s="1">
        <v>3865</v>
      </c>
      <c r="C351" s="94">
        <v>1007084703703</v>
      </c>
      <c r="D351" s="1" t="s">
        <v>1348</v>
      </c>
      <c r="E351" s="95">
        <v>3104.549</v>
      </c>
      <c r="F351" s="49">
        <v>2638.8666499999999</v>
      </c>
      <c r="G351" s="49">
        <v>-465.68235000000004</v>
      </c>
      <c r="H351" s="1" t="s">
        <v>17</v>
      </c>
      <c r="I351" s="1" t="s">
        <v>69</v>
      </c>
      <c r="J351" s="17">
        <v>46219</v>
      </c>
      <c r="K351" s="3">
        <v>46223</v>
      </c>
      <c r="L351" s="3" t="s">
        <v>16</v>
      </c>
    </row>
    <row r="352" spans="1:12">
      <c r="A352" s="1">
        <v>658421</v>
      </c>
      <c r="B352" s="1">
        <v>3861</v>
      </c>
      <c r="C352" s="94">
        <v>70847032861</v>
      </c>
      <c r="D352" s="1" t="s">
        <v>1349</v>
      </c>
      <c r="E352" s="95">
        <v>3104.4690000000001</v>
      </c>
      <c r="F352" s="49">
        <v>2638.7986500000002</v>
      </c>
      <c r="G352" s="49">
        <v>-465.67034999999987</v>
      </c>
      <c r="H352" s="1" t="s">
        <v>17</v>
      </c>
      <c r="I352" s="1" t="s">
        <v>69</v>
      </c>
      <c r="J352" s="17">
        <v>46219</v>
      </c>
      <c r="K352" s="3">
        <v>46223</v>
      </c>
      <c r="L352" s="3" t="s">
        <v>16</v>
      </c>
    </row>
    <row r="353" spans="1:12">
      <c r="A353" s="1">
        <v>661191</v>
      </c>
      <c r="B353" s="1">
        <v>3866</v>
      </c>
      <c r="C353" s="94">
        <v>1007084702751</v>
      </c>
      <c r="D353" s="1" t="s">
        <v>1350</v>
      </c>
      <c r="E353" s="95">
        <v>3104.558</v>
      </c>
      <c r="F353" s="49">
        <v>2638.8742999999999</v>
      </c>
      <c r="G353" s="49">
        <v>-465.68370000000004</v>
      </c>
      <c r="H353" s="1" t="s">
        <v>17</v>
      </c>
      <c r="I353" s="1" t="s">
        <v>69</v>
      </c>
      <c r="J353" s="17">
        <v>46219</v>
      </c>
      <c r="K353" s="3">
        <v>46223</v>
      </c>
      <c r="L353" s="3" t="s">
        <v>16</v>
      </c>
    </row>
    <row r="354" spans="1:12">
      <c r="A354" s="1">
        <v>661900</v>
      </c>
      <c r="B354" s="1">
        <v>3867</v>
      </c>
      <c r="C354" s="94">
        <v>1007084703123</v>
      </c>
      <c r="D354" s="1" t="s">
        <v>1351</v>
      </c>
      <c r="E354" s="95">
        <v>3104.4189999999999</v>
      </c>
      <c r="F354" s="49">
        <v>2638.7561499999997</v>
      </c>
      <c r="G354" s="49">
        <v>-465.66285000000016</v>
      </c>
      <c r="H354" s="1" t="s">
        <v>17</v>
      </c>
      <c r="I354" s="1" t="s">
        <v>69</v>
      </c>
      <c r="J354" s="17">
        <v>46219</v>
      </c>
      <c r="K354" s="3">
        <v>46223</v>
      </c>
      <c r="L354" s="3" t="s">
        <v>16</v>
      </c>
    </row>
    <row r="355" spans="1:12">
      <c r="A355" s="1">
        <v>663913</v>
      </c>
      <c r="B355" s="1">
        <v>3868</v>
      </c>
      <c r="C355" s="94">
        <v>1007084789417</v>
      </c>
      <c r="D355" s="1" t="s">
        <v>1352</v>
      </c>
      <c r="E355" s="95">
        <v>3104.3780000000002</v>
      </c>
      <c r="F355" s="49">
        <v>2638.7213000000002</v>
      </c>
      <c r="G355" s="49">
        <v>-465.6567</v>
      </c>
      <c r="H355" s="1" t="s">
        <v>17</v>
      </c>
      <c r="I355" s="1" t="s">
        <v>69</v>
      </c>
      <c r="J355" s="17">
        <v>46219</v>
      </c>
      <c r="K355" s="3">
        <v>46223</v>
      </c>
      <c r="L355" s="3" t="s">
        <v>16</v>
      </c>
    </row>
    <row r="356" spans="1:12">
      <c r="A356" s="1">
        <v>664915</v>
      </c>
      <c r="B356" s="1">
        <v>3869</v>
      </c>
      <c r="C356" s="94">
        <v>7798422620090</v>
      </c>
      <c r="D356" s="1" t="s">
        <v>1353</v>
      </c>
      <c r="E356" s="95">
        <v>3104.6889999999999</v>
      </c>
      <c r="F356" s="49">
        <v>2638.9856499999996</v>
      </c>
      <c r="G356" s="49">
        <v>-465.70335000000023</v>
      </c>
      <c r="H356" s="1" t="s">
        <v>17</v>
      </c>
      <c r="I356" s="1" t="s">
        <v>69</v>
      </c>
      <c r="J356" s="17">
        <v>46219</v>
      </c>
      <c r="K356" s="3">
        <v>46223</v>
      </c>
      <c r="L356" s="3" t="s">
        <v>16</v>
      </c>
    </row>
    <row r="357" spans="1:12">
      <c r="A357" s="1">
        <v>666369</v>
      </c>
      <c r="B357" s="1">
        <v>3870</v>
      </c>
      <c r="C357" s="94">
        <v>7798422620120</v>
      </c>
      <c r="D357" s="1" t="s">
        <v>1354</v>
      </c>
      <c r="E357" s="95">
        <v>3104.5949999999998</v>
      </c>
      <c r="F357" s="49">
        <v>2638.9057499999999</v>
      </c>
      <c r="G357" s="49">
        <v>-465.6892499999999</v>
      </c>
      <c r="H357" s="1" t="s">
        <v>17</v>
      </c>
      <c r="I357" s="1" t="s">
        <v>69</v>
      </c>
      <c r="J357" s="17">
        <v>46219</v>
      </c>
      <c r="K357" s="3">
        <v>46223</v>
      </c>
      <c r="L357" s="3" t="s">
        <v>16</v>
      </c>
    </row>
    <row r="358" spans="1:12" s="86" customFormat="1">
      <c r="A358" s="1">
        <v>666746</v>
      </c>
      <c r="B358" s="1">
        <v>1414</v>
      </c>
      <c r="C358" s="94" t="s">
        <v>1451</v>
      </c>
      <c r="D358" s="1" t="s">
        <v>1452</v>
      </c>
      <c r="E358" s="95">
        <v>1594.85</v>
      </c>
      <c r="F358" s="49">
        <v>1435.365</v>
      </c>
      <c r="G358" s="49">
        <v>-159.4849999999999</v>
      </c>
      <c r="H358" s="1" t="s">
        <v>17</v>
      </c>
      <c r="I358" s="1" t="s">
        <v>22</v>
      </c>
      <c r="J358" s="17">
        <v>46217</v>
      </c>
      <c r="K358" s="3">
        <v>46234</v>
      </c>
      <c r="L358" s="3" t="s">
        <v>139</v>
      </c>
    </row>
    <row r="359" spans="1:12" s="86" customFormat="1">
      <c r="A359" s="1">
        <v>666727</v>
      </c>
      <c r="B359" s="1">
        <v>1415</v>
      </c>
      <c r="C359" s="94" t="s">
        <v>1453</v>
      </c>
      <c r="D359" s="1" t="s">
        <v>1454</v>
      </c>
      <c r="E359" s="95">
        <v>1356.82</v>
      </c>
      <c r="F359" s="49">
        <v>1221.1379999999999</v>
      </c>
      <c r="G359" s="49">
        <v>-135.68200000000002</v>
      </c>
      <c r="H359" s="1" t="s">
        <v>17</v>
      </c>
      <c r="I359" s="1" t="s">
        <v>22</v>
      </c>
      <c r="J359" s="17">
        <v>46217</v>
      </c>
      <c r="K359" s="3">
        <v>46234</v>
      </c>
      <c r="L359" s="3" t="s">
        <v>139</v>
      </c>
    </row>
    <row r="360" spans="1:12" s="86" customFormat="1">
      <c r="A360" s="1">
        <v>8738</v>
      </c>
      <c r="B360" s="1">
        <v>507</v>
      </c>
      <c r="C360" s="94" t="s">
        <v>1455</v>
      </c>
      <c r="D360" s="1" t="s">
        <v>1456</v>
      </c>
      <c r="E360" s="95">
        <v>1968.15</v>
      </c>
      <c r="F360" s="49">
        <v>1771.335</v>
      </c>
      <c r="G360" s="49">
        <v>-196.81500000000005</v>
      </c>
      <c r="H360" s="1" t="s">
        <v>17</v>
      </c>
      <c r="I360" s="1" t="s">
        <v>22</v>
      </c>
      <c r="J360" s="17">
        <v>46217</v>
      </c>
      <c r="K360" s="3">
        <v>46234</v>
      </c>
      <c r="L360" s="3" t="s">
        <v>139</v>
      </c>
    </row>
    <row r="361" spans="1:12" s="86" customFormat="1">
      <c r="A361" s="1">
        <v>8737</v>
      </c>
      <c r="B361" s="1">
        <v>518</v>
      </c>
      <c r="C361" s="94" t="s">
        <v>1457</v>
      </c>
      <c r="D361" s="1" t="s">
        <v>1458</v>
      </c>
      <c r="E361" s="95">
        <v>1548.15</v>
      </c>
      <c r="F361" s="49">
        <v>1393.335</v>
      </c>
      <c r="G361" s="49">
        <v>-154.81500000000005</v>
      </c>
      <c r="H361" s="1" t="s">
        <v>17</v>
      </c>
      <c r="I361" s="1" t="s">
        <v>22</v>
      </c>
      <c r="J361" s="17">
        <v>46217</v>
      </c>
      <c r="K361" s="3">
        <v>46234</v>
      </c>
      <c r="L361" s="3" t="s">
        <v>139</v>
      </c>
    </row>
    <row r="362" spans="1:12" s="86" customFormat="1">
      <c r="A362" s="1">
        <v>20511</v>
      </c>
      <c r="B362" s="1">
        <v>508</v>
      </c>
      <c r="C362" s="94" t="s">
        <v>1459</v>
      </c>
      <c r="D362" s="1" t="s">
        <v>1460</v>
      </c>
      <c r="E362" s="95">
        <v>1396.47</v>
      </c>
      <c r="F362" s="49">
        <v>1256.8230000000001</v>
      </c>
      <c r="G362" s="49">
        <v>-139.64699999999993</v>
      </c>
      <c r="H362" s="1" t="s">
        <v>17</v>
      </c>
      <c r="I362" s="1" t="s">
        <v>22</v>
      </c>
      <c r="J362" s="17">
        <v>46217</v>
      </c>
      <c r="K362" s="3">
        <v>46234</v>
      </c>
      <c r="L362" s="3" t="s">
        <v>139</v>
      </c>
    </row>
    <row r="363" spans="1:12" s="86" customFormat="1">
      <c r="A363" s="1">
        <v>2601</v>
      </c>
      <c r="B363" s="1">
        <v>505</v>
      </c>
      <c r="C363" s="94" t="s">
        <v>1461</v>
      </c>
      <c r="D363" s="1" t="s">
        <v>1462</v>
      </c>
      <c r="E363" s="95">
        <v>1396.47</v>
      </c>
      <c r="F363" s="49">
        <v>1256.8230000000001</v>
      </c>
      <c r="G363" s="49">
        <v>-139.64699999999993</v>
      </c>
      <c r="H363" s="1" t="s">
        <v>17</v>
      </c>
      <c r="I363" s="1" t="s">
        <v>22</v>
      </c>
      <c r="J363" s="17">
        <v>46217</v>
      </c>
      <c r="K363" s="3">
        <v>46234</v>
      </c>
      <c r="L363" s="3" t="s">
        <v>139</v>
      </c>
    </row>
    <row r="364" spans="1:12" s="86" customFormat="1">
      <c r="A364" s="1">
        <v>2604</v>
      </c>
      <c r="B364" s="1">
        <v>506</v>
      </c>
      <c r="C364" s="94" t="s">
        <v>1463</v>
      </c>
      <c r="D364" s="1" t="s">
        <v>1464</v>
      </c>
      <c r="E364" s="95">
        <v>1396.47</v>
      </c>
      <c r="F364" s="49">
        <v>1256.8230000000001</v>
      </c>
      <c r="G364" s="49">
        <v>-139.64699999999993</v>
      </c>
      <c r="H364" s="1" t="s">
        <v>17</v>
      </c>
      <c r="I364" s="1" t="s">
        <v>22</v>
      </c>
      <c r="J364" s="17">
        <v>46217</v>
      </c>
      <c r="K364" s="3">
        <v>46234</v>
      </c>
      <c r="L364" s="3" t="s">
        <v>139</v>
      </c>
    </row>
    <row r="365" spans="1:12" s="86" customFormat="1">
      <c r="A365" s="1">
        <v>8736</v>
      </c>
      <c r="B365" s="1">
        <v>509</v>
      </c>
      <c r="C365" s="94" t="s">
        <v>1465</v>
      </c>
      <c r="D365" s="1" t="s">
        <v>1466</v>
      </c>
      <c r="E365" s="95">
        <v>2573.65</v>
      </c>
      <c r="F365" s="49">
        <v>2316.2850000000003</v>
      </c>
      <c r="G365" s="49">
        <v>-257.36499999999978</v>
      </c>
      <c r="H365" s="1" t="s">
        <v>17</v>
      </c>
      <c r="I365" s="1" t="s">
        <v>22</v>
      </c>
      <c r="J365" s="17">
        <v>46217</v>
      </c>
      <c r="K365" s="3">
        <v>46234</v>
      </c>
      <c r="L365" s="3" t="s">
        <v>139</v>
      </c>
    </row>
    <row r="366" spans="1:12" s="86" customFormat="1">
      <c r="A366" s="1">
        <v>10869</v>
      </c>
      <c r="B366" s="1">
        <v>27</v>
      </c>
      <c r="C366" s="94" t="s">
        <v>1467</v>
      </c>
      <c r="D366" s="1" t="s">
        <v>1468</v>
      </c>
      <c r="E366" s="95">
        <v>3474.24</v>
      </c>
      <c r="F366" s="49">
        <v>2953.1039999999998</v>
      </c>
      <c r="G366" s="49">
        <v>-521.13599999999997</v>
      </c>
      <c r="H366" s="1" t="s">
        <v>17</v>
      </c>
      <c r="I366" s="1" t="s">
        <v>69</v>
      </c>
      <c r="J366" s="17">
        <v>46217</v>
      </c>
      <c r="K366" s="3">
        <v>46234</v>
      </c>
      <c r="L366" s="3" t="s">
        <v>139</v>
      </c>
    </row>
    <row r="367" spans="1:12" s="86" customFormat="1">
      <c r="A367" s="1">
        <v>657424</v>
      </c>
      <c r="B367" s="1">
        <v>234</v>
      </c>
      <c r="C367" s="94" t="s">
        <v>1469</v>
      </c>
      <c r="D367" s="1" t="s">
        <v>1470</v>
      </c>
      <c r="E367" s="95">
        <v>4069.05</v>
      </c>
      <c r="F367" s="49">
        <v>3458.6925000000001</v>
      </c>
      <c r="G367" s="49">
        <v>-610.35750000000007</v>
      </c>
      <c r="H367" s="1" t="s">
        <v>17</v>
      </c>
      <c r="I367" s="1" t="s">
        <v>69</v>
      </c>
      <c r="J367" s="17">
        <v>46217</v>
      </c>
      <c r="K367" s="3">
        <v>46234</v>
      </c>
      <c r="L367" s="3" t="s">
        <v>139</v>
      </c>
    </row>
    <row r="368" spans="1:12" s="86" customFormat="1">
      <c r="A368" s="1">
        <v>11244</v>
      </c>
      <c r="B368" s="1">
        <v>28</v>
      </c>
      <c r="C368" s="94" t="s">
        <v>1471</v>
      </c>
      <c r="D368" s="1" t="s">
        <v>1472</v>
      </c>
      <c r="E368" s="95">
        <v>3474.24</v>
      </c>
      <c r="F368" s="49">
        <v>2953.1039999999998</v>
      </c>
      <c r="G368" s="49">
        <v>-521.13599999999997</v>
      </c>
      <c r="H368" s="1" t="s">
        <v>17</v>
      </c>
      <c r="I368" s="1" t="s">
        <v>69</v>
      </c>
      <c r="J368" s="17">
        <v>46217</v>
      </c>
      <c r="K368" s="3">
        <v>46234</v>
      </c>
      <c r="L368" s="3" t="s">
        <v>139</v>
      </c>
    </row>
    <row r="369" spans="1:12" s="86" customFormat="1">
      <c r="A369" s="1">
        <v>1368</v>
      </c>
      <c r="B369" s="1">
        <v>30</v>
      </c>
      <c r="C369" s="94" t="s">
        <v>1473</v>
      </c>
      <c r="D369" s="1" t="s">
        <v>1474</v>
      </c>
      <c r="E369" s="95">
        <v>2410</v>
      </c>
      <c r="F369" s="49">
        <v>2048.5</v>
      </c>
      <c r="G369" s="49">
        <v>-361.5</v>
      </c>
      <c r="H369" s="1" t="s">
        <v>17</v>
      </c>
      <c r="I369" s="1" t="s">
        <v>69</v>
      </c>
      <c r="J369" s="17">
        <v>46217</v>
      </c>
      <c r="K369" s="3">
        <v>46234</v>
      </c>
      <c r="L369" s="3" t="s">
        <v>139</v>
      </c>
    </row>
    <row r="370" spans="1:12" s="86" customFormat="1">
      <c r="A370" s="1">
        <v>3437</v>
      </c>
      <c r="B370" s="1">
        <v>46</v>
      </c>
      <c r="C370" s="94" t="s">
        <v>1475</v>
      </c>
      <c r="D370" s="1" t="s">
        <v>1476</v>
      </c>
      <c r="E370" s="95">
        <v>2645.36</v>
      </c>
      <c r="F370" s="49">
        <v>2248.556</v>
      </c>
      <c r="G370" s="49">
        <v>-396.80400000000009</v>
      </c>
      <c r="H370" s="1" t="s">
        <v>17</v>
      </c>
      <c r="I370" s="1" t="s">
        <v>69</v>
      </c>
      <c r="J370" s="17">
        <v>46217</v>
      </c>
      <c r="K370" s="3">
        <v>46234</v>
      </c>
      <c r="L370" s="3" t="s">
        <v>139</v>
      </c>
    </row>
    <row r="371" spans="1:12" s="86" customFormat="1">
      <c r="A371" s="1">
        <v>12327</v>
      </c>
      <c r="B371" s="1">
        <v>241</v>
      </c>
      <c r="C371" s="94" t="s">
        <v>1477</v>
      </c>
      <c r="D371" s="1" t="s">
        <v>1478</v>
      </c>
      <c r="E371" s="95">
        <v>3254.15</v>
      </c>
      <c r="F371" s="49">
        <v>2766.0275000000001</v>
      </c>
      <c r="G371" s="49">
        <v>-488.12249999999995</v>
      </c>
      <c r="H371" s="1" t="s">
        <v>17</v>
      </c>
      <c r="I371" s="1" t="s">
        <v>69</v>
      </c>
      <c r="J371" s="17">
        <v>46217</v>
      </c>
      <c r="K371" s="3">
        <v>46234</v>
      </c>
      <c r="L371" s="3" t="s">
        <v>139</v>
      </c>
    </row>
    <row r="372" spans="1:12" s="86" customFormat="1">
      <c r="A372" s="1">
        <v>1390</v>
      </c>
      <c r="B372" s="1">
        <v>45</v>
      </c>
      <c r="C372" s="94" t="s">
        <v>1479</v>
      </c>
      <c r="D372" s="1" t="s">
        <v>1480</v>
      </c>
      <c r="E372" s="95">
        <v>2495.7800000000002</v>
      </c>
      <c r="F372" s="49">
        <v>2121.413</v>
      </c>
      <c r="G372" s="49">
        <v>-374.36700000000019</v>
      </c>
      <c r="H372" s="1" t="s">
        <v>17</v>
      </c>
      <c r="I372" s="1" t="s">
        <v>69</v>
      </c>
      <c r="J372" s="17">
        <v>46217</v>
      </c>
      <c r="K372" s="3">
        <v>46234</v>
      </c>
      <c r="L372" s="3" t="s">
        <v>139</v>
      </c>
    </row>
    <row r="373" spans="1:12" s="86" customFormat="1">
      <c r="A373" s="1">
        <v>11023</v>
      </c>
      <c r="B373" s="1">
        <v>274</v>
      </c>
      <c r="C373" s="94" t="s">
        <v>1481</v>
      </c>
      <c r="D373" s="1" t="s">
        <v>1482</v>
      </c>
      <c r="E373" s="95">
        <v>2645.36</v>
      </c>
      <c r="F373" s="49">
        <v>2248.556</v>
      </c>
      <c r="G373" s="49">
        <v>-396.80400000000009</v>
      </c>
      <c r="H373" s="1" t="s">
        <v>17</v>
      </c>
      <c r="I373" s="1" t="s">
        <v>69</v>
      </c>
      <c r="J373" s="17">
        <v>46217</v>
      </c>
      <c r="K373" s="3">
        <v>46234</v>
      </c>
      <c r="L373" s="3" t="s">
        <v>139</v>
      </c>
    </row>
    <row r="374" spans="1:12" s="86" customFormat="1">
      <c r="A374" s="1">
        <v>11022</v>
      </c>
      <c r="B374" s="1">
        <v>273</v>
      </c>
      <c r="C374" s="94" t="s">
        <v>1483</v>
      </c>
      <c r="D374" s="1" t="s">
        <v>1484</v>
      </c>
      <c r="E374" s="95">
        <v>2645.36</v>
      </c>
      <c r="F374" s="49">
        <v>2248.556</v>
      </c>
      <c r="G374" s="49">
        <v>-396.80400000000009</v>
      </c>
      <c r="H374" s="1" t="s">
        <v>17</v>
      </c>
      <c r="I374" s="1" t="s">
        <v>69</v>
      </c>
      <c r="J374" s="17">
        <v>46217</v>
      </c>
      <c r="K374" s="3">
        <v>46234</v>
      </c>
      <c r="L374" s="3" t="s">
        <v>139</v>
      </c>
    </row>
    <row r="375" spans="1:12" s="86" customFormat="1">
      <c r="A375" s="1">
        <v>1389</v>
      </c>
      <c r="B375" s="1">
        <v>44</v>
      </c>
      <c r="C375" s="94" t="s">
        <v>1485</v>
      </c>
      <c r="D375" s="1" t="s">
        <v>1486</v>
      </c>
      <c r="E375" s="95">
        <v>3207.98</v>
      </c>
      <c r="F375" s="49">
        <v>2726.7829999999999</v>
      </c>
      <c r="G375" s="49">
        <v>-481.19700000000012</v>
      </c>
      <c r="H375" s="1" t="s">
        <v>17</v>
      </c>
      <c r="I375" s="1" t="s">
        <v>69</v>
      </c>
      <c r="J375" s="17">
        <v>46217</v>
      </c>
      <c r="K375" s="3">
        <v>46234</v>
      </c>
      <c r="L375" s="3" t="s">
        <v>139</v>
      </c>
    </row>
    <row r="376" spans="1:12" s="86" customFormat="1">
      <c r="A376" s="1">
        <v>1395</v>
      </c>
      <c r="B376" s="1">
        <v>438</v>
      </c>
      <c r="C376" s="94" t="s">
        <v>1487</v>
      </c>
      <c r="D376" s="1" t="s">
        <v>1488</v>
      </c>
      <c r="E376" s="95">
        <v>1752.41</v>
      </c>
      <c r="F376" s="49">
        <v>1489.5485000000001</v>
      </c>
      <c r="G376" s="49">
        <v>-262.86149999999998</v>
      </c>
      <c r="H376" s="1" t="s">
        <v>17</v>
      </c>
      <c r="I376" s="1" t="s">
        <v>69</v>
      </c>
      <c r="J376" s="17">
        <v>46217</v>
      </c>
      <c r="K376" s="3">
        <v>46234</v>
      </c>
      <c r="L376" s="3" t="s">
        <v>139</v>
      </c>
    </row>
    <row r="377" spans="1:12" s="86" customFormat="1">
      <c r="A377" s="1">
        <v>666504</v>
      </c>
      <c r="B377" s="1">
        <v>448</v>
      </c>
      <c r="C377" s="94" t="s">
        <v>1489</v>
      </c>
      <c r="D377" s="1" t="s">
        <v>1490</v>
      </c>
      <c r="E377" s="95">
        <v>5011.5</v>
      </c>
      <c r="F377" s="49">
        <v>4259.7749999999996</v>
      </c>
      <c r="G377" s="49">
        <v>-751.72500000000036</v>
      </c>
      <c r="H377" s="1" t="s">
        <v>17</v>
      </c>
      <c r="I377" s="1" t="s">
        <v>69</v>
      </c>
      <c r="J377" s="17">
        <v>46217</v>
      </c>
      <c r="K377" s="3">
        <v>46234</v>
      </c>
      <c r="L377" s="3" t="s">
        <v>139</v>
      </c>
    </row>
    <row r="378" spans="1:12" s="86" customFormat="1">
      <c r="A378" s="1">
        <v>664912</v>
      </c>
      <c r="B378" s="1">
        <v>1191</v>
      </c>
      <c r="C378" s="94" t="s">
        <v>1491</v>
      </c>
      <c r="D378" s="1" t="s">
        <v>1492</v>
      </c>
      <c r="E378" s="95">
        <v>4070</v>
      </c>
      <c r="F378" s="49">
        <v>3459.5</v>
      </c>
      <c r="G378" s="49">
        <v>-610.5</v>
      </c>
      <c r="H378" s="1" t="s">
        <v>17</v>
      </c>
      <c r="I378" s="1" t="s">
        <v>69</v>
      </c>
      <c r="J378" s="17">
        <v>46217</v>
      </c>
      <c r="K378" s="3">
        <v>46234</v>
      </c>
      <c r="L378" s="3" t="s">
        <v>139</v>
      </c>
    </row>
    <row r="379" spans="1:12" s="86" customFormat="1">
      <c r="A379" s="1">
        <v>4610</v>
      </c>
      <c r="B379" s="1">
        <v>97</v>
      </c>
      <c r="C379" s="94" t="s">
        <v>1493</v>
      </c>
      <c r="D379" s="1" t="s">
        <v>1494</v>
      </c>
      <c r="E379" s="95">
        <v>2267.37</v>
      </c>
      <c r="F379" s="49">
        <v>1927.2644999999998</v>
      </c>
      <c r="G379" s="49">
        <v>-340.10550000000012</v>
      </c>
      <c r="H379" s="1" t="s">
        <v>17</v>
      </c>
      <c r="I379" s="1" t="s">
        <v>69</v>
      </c>
      <c r="J379" s="17">
        <v>46217</v>
      </c>
      <c r="K379" s="3">
        <v>46234</v>
      </c>
      <c r="L379" s="3" t="s">
        <v>139</v>
      </c>
    </row>
    <row r="380" spans="1:12" s="86" customFormat="1">
      <c r="A380" s="1">
        <v>4870</v>
      </c>
      <c r="B380" s="1">
        <v>98</v>
      </c>
      <c r="C380" s="94" t="s">
        <v>1495</v>
      </c>
      <c r="D380" s="1" t="s">
        <v>1496</v>
      </c>
      <c r="E380" s="95">
        <v>2350.81</v>
      </c>
      <c r="F380" s="49">
        <v>1998.1885</v>
      </c>
      <c r="G380" s="49">
        <v>-352.62149999999997</v>
      </c>
      <c r="H380" s="1" t="s">
        <v>17</v>
      </c>
      <c r="I380" s="1" t="s">
        <v>69</v>
      </c>
      <c r="J380" s="17">
        <v>46217</v>
      </c>
      <c r="K380" s="3">
        <v>46234</v>
      </c>
      <c r="L380" s="3" t="s">
        <v>139</v>
      </c>
    </row>
    <row r="381" spans="1:12" s="86" customFormat="1">
      <c r="A381" s="1">
        <v>887</v>
      </c>
      <c r="B381" s="1">
        <v>663</v>
      </c>
      <c r="C381" s="94" t="s">
        <v>1497</v>
      </c>
      <c r="D381" s="1" t="s">
        <v>1498</v>
      </c>
      <c r="E381" s="95">
        <v>2426.96</v>
      </c>
      <c r="F381" s="49">
        <v>1941.5680000000002</v>
      </c>
      <c r="G381" s="49">
        <v>-485.39199999999983</v>
      </c>
      <c r="H381" s="1" t="s">
        <v>17</v>
      </c>
      <c r="I381" s="1" t="s">
        <v>74</v>
      </c>
      <c r="J381" s="17">
        <v>46217</v>
      </c>
      <c r="K381" s="3">
        <v>46234</v>
      </c>
      <c r="L381" s="3" t="s">
        <v>139</v>
      </c>
    </row>
    <row r="382" spans="1:12" s="86" customFormat="1">
      <c r="A382" s="1">
        <v>661408</v>
      </c>
      <c r="B382" s="1">
        <v>1141</v>
      </c>
      <c r="C382" s="94" t="s">
        <v>1499</v>
      </c>
      <c r="D382" s="1" t="s">
        <v>1500</v>
      </c>
      <c r="E382" s="95">
        <v>2920.58</v>
      </c>
      <c r="F382" s="49">
        <v>2336.4639999999999</v>
      </c>
      <c r="G382" s="49">
        <v>-584.11599999999999</v>
      </c>
      <c r="H382" s="1" t="s">
        <v>17</v>
      </c>
      <c r="I382" s="1" t="s">
        <v>74</v>
      </c>
      <c r="J382" s="17">
        <v>46217</v>
      </c>
      <c r="K382" s="3">
        <v>46234</v>
      </c>
      <c r="L382" s="3" t="s">
        <v>139</v>
      </c>
    </row>
    <row r="383" spans="1:12" s="86" customFormat="1">
      <c r="A383" s="1">
        <v>661687</v>
      </c>
      <c r="B383" s="1">
        <v>1143</v>
      </c>
      <c r="C383" s="94" t="s">
        <v>1501</v>
      </c>
      <c r="D383" s="1" t="s">
        <v>1502</v>
      </c>
      <c r="E383" s="95">
        <v>4984.67</v>
      </c>
      <c r="F383" s="49">
        <v>3987.7360000000003</v>
      </c>
      <c r="G383" s="49">
        <v>-996.93399999999974</v>
      </c>
      <c r="H383" s="1" t="s">
        <v>17</v>
      </c>
      <c r="I383" s="1" t="s">
        <v>74</v>
      </c>
      <c r="J383" s="17">
        <v>46217</v>
      </c>
      <c r="K383" s="3">
        <v>46234</v>
      </c>
      <c r="L383" s="3" t="s">
        <v>139</v>
      </c>
    </row>
    <row r="384" spans="1:12" s="86" customFormat="1">
      <c r="A384" s="1">
        <v>11889</v>
      </c>
      <c r="B384" s="1">
        <v>432</v>
      </c>
      <c r="C384" s="94" t="s">
        <v>1503</v>
      </c>
      <c r="D384" s="1" t="s">
        <v>1504</v>
      </c>
      <c r="E384" s="95">
        <v>6014.84</v>
      </c>
      <c r="F384" s="49">
        <v>4811.8720000000003</v>
      </c>
      <c r="G384" s="49">
        <v>-1202.9679999999998</v>
      </c>
      <c r="H384" s="1" t="s">
        <v>17</v>
      </c>
      <c r="I384" s="1" t="s">
        <v>74</v>
      </c>
      <c r="J384" s="17">
        <v>46217</v>
      </c>
      <c r="K384" s="3">
        <v>46234</v>
      </c>
      <c r="L384" s="3" t="s">
        <v>139</v>
      </c>
    </row>
    <row r="385" spans="1:12" s="86" customFormat="1">
      <c r="A385" s="1">
        <v>8502</v>
      </c>
      <c r="B385" s="1">
        <v>965</v>
      </c>
      <c r="C385" s="94" t="s">
        <v>1505</v>
      </c>
      <c r="D385" s="1" t="s">
        <v>1506</v>
      </c>
      <c r="E385" s="95">
        <v>2996.5</v>
      </c>
      <c r="F385" s="49">
        <v>2397.2000000000003</v>
      </c>
      <c r="G385" s="49">
        <v>-599.29999999999973</v>
      </c>
      <c r="H385" s="1" t="s">
        <v>17</v>
      </c>
      <c r="I385" s="1" t="s">
        <v>74</v>
      </c>
      <c r="J385" s="17">
        <v>46217</v>
      </c>
      <c r="K385" s="3">
        <v>46234</v>
      </c>
      <c r="L385" s="3" t="s">
        <v>139</v>
      </c>
    </row>
    <row r="386" spans="1:12" s="86" customFormat="1">
      <c r="A386" s="1">
        <v>9155</v>
      </c>
      <c r="B386" s="1">
        <v>1118</v>
      </c>
      <c r="C386" s="94" t="s">
        <v>1507</v>
      </c>
      <c r="D386" s="1" t="s">
        <v>1508</v>
      </c>
      <c r="E386" s="95">
        <v>2234.56</v>
      </c>
      <c r="F386" s="49">
        <v>1787.6480000000001</v>
      </c>
      <c r="G386" s="49">
        <v>-446.91199999999981</v>
      </c>
      <c r="H386" s="1" t="s">
        <v>17</v>
      </c>
      <c r="I386" s="1" t="s">
        <v>74</v>
      </c>
      <c r="J386" s="17">
        <v>46217</v>
      </c>
      <c r="K386" s="3">
        <v>46234</v>
      </c>
      <c r="L386" s="3" t="s">
        <v>139</v>
      </c>
    </row>
    <row r="387" spans="1:12" s="86" customFormat="1">
      <c r="A387" s="1">
        <v>18779</v>
      </c>
      <c r="B387" s="1">
        <v>968</v>
      </c>
      <c r="C387" s="94" t="s">
        <v>1509</v>
      </c>
      <c r="D387" s="1" t="s">
        <v>1510</v>
      </c>
      <c r="E387" s="95">
        <v>5311.46</v>
      </c>
      <c r="F387" s="49">
        <v>4249.1680000000006</v>
      </c>
      <c r="G387" s="49">
        <v>-1062.2919999999995</v>
      </c>
      <c r="H387" s="1" t="s">
        <v>17</v>
      </c>
      <c r="I387" s="1" t="s">
        <v>74</v>
      </c>
      <c r="J387" s="17">
        <v>46217</v>
      </c>
      <c r="K387" s="3">
        <v>46234</v>
      </c>
      <c r="L387" s="3" t="s">
        <v>139</v>
      </c>
    </row>
    <row r="388" spans="1:12" s="86" customFormat="1">
      <c r="A388" s="1">
        <v>18778</v>
      </c>
      <c r="B388" s="1">
        <v>967</v>
      </c>
      <c r="C388" s="94" t="s">
        <v>1511</v>
      </c>
      <c r="D388" s="1" t="s">
        <v>1512</v>
      </c>
      <c r="E388" s="95">
        <v>3061.01</v>
      </c>
      <c r="F388" s="49">
        <v>2448.8080000000004</v>
      </c>
      <c r="G388" s="49">
        <v>-612.20199999999977</v>
      </c>
      <c r="H388" s="1" t="s">
        <v>17</v>
      </c>
      <c r="I388" s="1" t="s">
        <v>74</v>
      </c>
      <c r="J388" s="17">
        <v>46217</v>
      </c>
      <c r="K388" s="3">
        <v>46234</v>
      </c>
      <c r="L388" s="3" t="s">
        <v>139</v>
      </c>
    </row>
    <row r="389" spans="1:12" s="86" customFormat="1">
      <c r="A389" s="1">
        <v>664985</v>
      </c>
      <c r="B389" s="1">
        <v>14299</v>
      </c>
      <c r="C389" s="94" t="s">
        <v>1513</v>
      </c>
      <c r="D389" s="1" t="s">
        <v>1514</v>
      </c>
      <c r="E389" s="95">
        <v>2600.96</v>
      </c>
      <c r="F389" s="49">
        <v>2340.864</v>
      </c>
      <c r="G389" s="49">
        <v>-260.096</v>
      </c>
      <c r="H389" s="1" t="s">
        <v>17</v>
      </c>
      <c r="I389" s="1" t="s">
        <v>22</v>
      </c>
      <c r="J389" s="17">
        <v>46217</v>
      </c>
      <c r="K389" s="3">
        <v>46234</v>
      </c>
      <c r="L389" s="3" t="s">
        <v>139</v>
      </c>
    </row>
    <row r="390" spans="1:12" s="86" customFormat="1">
      <c r="A390" s="1">
        <v>302</v>
      </c>
      <c r="B390" s="1">
        <v>14322</v>
      </c>
      <c r="C390" s="94" t="s">
        <v>1515</v>
      </c>
      <c r="D390" s="1" t="s">
        <v>1516</v>
      </c>
      <c r="E390" s="95">
        <v>1950.71</v>
      </c>
      <c r="F390" s="49">
        <v>1755.6390000000001</v>
      </c>
      <c r="G390" s="49">
        <v>-195.07099999999991</v>
      </c>
      <c r="H390" s="1" t="s">
        <v>17</v>
      </c>
      <c r="I390" s="1" t="s">
        <v>22</v>
      </c>
      <c r="J390" s="17">
        <v>46217</v>
      </c>
      <c r="K390" s="3">
        <v>46234</v>
      </c>
      <c r="L390" s="3" t="s">
        <v>139</v>
      </c>
    </row>
    <row r="391" spans="1:12" s="86" customFormat="1">
      <c r="A391" s="1">
        <v>752</v>
      </c>
      <c r="B391" s="1">
        <v>14323</v>
      </c>
      <c r="C391" s="94" t="s">
        <v>1517</v>
      </c>
      <c r="D391" s="1" t="s">
        <v>1518</v>
      </c>
      <c r="E391" s="95">
        <v>2600.96</v>
      </c>
      <c r="F391" s="49">
        <v>2340.864</v>
      </c>
      <c r="G391" s="49">
        <v>-260.096</v>
      </c>
      <c r="H391" s="1" t="s">
        <v>17</v>
      </c>
      <c r="I391" s="1" t="s">
        <v>22</v>
      </c>
      <c r="J391" s="17">
        <v>46217</v>
      </c>
      <c r="K391" s="3">
        <v>46234</v>
      </c>
      <c r="L391" s="3" t="s">
        <v>139</v>
      </c>
    </row>
    <row r="392" spans="1:12" s="86" customFormat="1">
      <c r="A392" s="1">
        <v>659363</v>
      </c>
      <c r="B392" s="1">
        <v>14324</v>
      </c>
      <c r="C392" s="94" t="s">
        <v>1519</v>
      </c>
      <c r="D392" s="1" t="s">
        <v>1520</v>
      </c>
      <c r="E392" s="95">
        <v>1190.32</v>
      </c>
      <c r="F392" s="49">
        <v>1071.288</v>
      </c>
      <c r="G392" s="49">
        <v>-119.03199999999993</v>
      </c>
      <c r="H392" s="1" t="s">
        <v>17</v>
      </c>
      <c r="I392" s="1" t="s">
        <v>22</v>
      </c>
      <c r="J392" s="17">
        <v>46217</v>
      </c>
      <c r="K392" s="3">
        <v>46234</v>
      </c>
      <c r="L392" s="3" t="s">
        <v>139</v>
      </c>
    </row>
    <row r="393" spans="1:12" s="86" customFormat="1">
      <c r="A393" s="1">
        <v>665443</v>
      </c>
      <c r="B393" s="1">
        <v>14325</v>
      </c>
      <c r="C393" s="94" t="s">
        <v>1521</v>
      </c>
      <c r="D393" s="1" t="s">
        <v>1522</v>
      </c>
      <c r="E393" s="95">
        <v>1950.71</v>
      </c>
      <c r="F393" s="49">
        <v>1755.6390000000001</v>
      </c>
      <c r="G393" s="49">
        <v>-195.07099999999991</v>
      </c>
      <c r="H393" s="1" t="s">
        <v>17</v>
      </c>
      <c r="I393" s="1" t="s">
        <v>22</v>
      </c>
      <c r="J393" s="17">
        <v>46217</v>
      </c>
      <c r="K393" s="3">
        <v>46234</v>
      </c>
      <c r="L393" s="3" t="s">
        <v>139</v>
      </c>
    </row>
    <row r="394" spans="1:12" s="86" customFormat="1">
      <c r="A394" s="1">
        <v>20353</v>
      </c>
      <c r="B394" s="1">
        <v>14326</v>
      </c>
      <c r="C394" s="94" t="s">
        <v>1523</v>
      </c>
      <c r="D394" s="1" t="s">
        <v>1524</v>
      </c>
      <c r="E394" s="95">
        <v>2600.96</v>
      </c>
      <c r="F394" s="49">
        <v>2340.864</v>
      </c>
      <c r="G394" s="49">
        <v>-260.096</v>
      </c>
      <c r="H394" s="1" t="s">
        <v>17</v>
      </c>
      <c r="I394" s="1" t="s">
        <v>22</v>
      </c>
      <c r="J394" s="17">
        <v>46217</v>
      </c>
      <c r="K394" s="3">
        <v>46234</v>
      </c>
      <c r="L394" s="3" t="s">
        <v>139</v>
      </c>
    </row>
    <row r="395" spans="1:12" s="86" customFormat="1">
      <c r="A395" s="1">
        <v>8355</v>
      </c>
      <c r="B395" s="1">
        <v>14336</v>
      </c>
      <c r="C395" s="94" t="s">
        <v>1525</v>
      </c>
      <c r="D395" s="1" t="s">
        <v>1526</v>
      </c>
      <c r="E395" s="95">
        <v>2999.99</v>
      </c>
      <c r="F395" s="49">
        <v>2699.991</v>
      </c>
      <c r="G395" s="49">
        <v>-299.9989999999998</v>
      </c>
      <c r="H395" s="1" t="s">
        <v>17</v>
      </c>
      <c r="I395" s="1" t="s">
        <v>22</v>
      </c>
      <c r="J395" s="17">
        <v>46217</v>
      </c>
      <c r="K395" s="3">
        <v>46234</v>
      </c>
      <c r="L395" s="3" t="s">
        <v>139</v>
      </c>
    </row>
    <row r="396" spans="1:12" s="86" customFormat="1">
      <c r="A396" s="1">
        <v>320</v>
      </c>
      <c r="B396" s="1">
        <v>14772</v>
      </c>
      <c r="C396" s="94" t="s">
        <v>1527</v>
      </c>
      <c r="D396" s="1" t="s">
        <v>1528</v>
      </c>
      <c r="E396" s="95">
        <v>3701.18</v>
      </c>
      <c r="F396" s="49">
        <v>3146.0029999999997</v>
      </c>
      <c r="G396" s="49">
        <v>-555.17700000000013</v>
      </c>
      <c r="H396" s="1" t="s">
        <v>17</v>
      </c>
      <c r="I396" s="1" t="s">
        <v>69</v>
      </c>
      <c r="J396" s="17">
        <v>46217</v>
      </c>
      <c r="K396" s="3">
        <v>46234</v>
      </c>
      <c r="L396" s="3" t="s">
        <v>139</v>
      </c>
    </row>
    <row r="397" spans="1:12" s="86" customFormat="1">
      <c r="A397" s="1">
        <v>5580</v>
      </c>
      <c r="B397" s="1">
        <v>7049</v>
      </c>
      <c r="C397" s="94" t="s">
        <v>1529</v>
      </c>
      <c r="D397" s="1" t="s">
        <v>1530</v>
      </c>
      <c r="E397" s="95">
        <v>2216.29</v>
      </c>
      <c r="F397" s="49">
        <v>1883.8464999999999</v>
      </c>
      <c r="G397" s="49">
        <v>-332.44350000000009</v>
      </c>
      <c r="H397" s="1" t="s">
        <v>17</v>
      </c>
      <c r="I397" s="1" t="s">
        <v>69</v>
      </c>
      <c r="J397" s="17">
        <v>46217</v>
      </c>
      <c r="K397" s="3">
        <v>46234</v>
      </c>
      <c r="L397" s="3" t="s">
        <v>139</v>
      </c>
    </row>
    <row r="398" spans="1:12" s="86" customFormat="1">
      <c r="A398" s="1">
        <v>323</v>
      </c>
      <c r="B398" s="1">
        <v>10204</v>
      </c>
      <c r="C398" s="94" t="s">
        <v>1531</v>
      </c>
      <c r="D398" s="1" t="s">
        <v>1532</v>
      </c>
      <c r="E398" s="95">
        <v>2014.44</v>
      </c>
      <c r="F398" s="49">
        <v>1712.2740000000001</v>
      </c>
      <c r="G398" s="49">
        <v>-302.16599999999994</v>
      </c>
      <c r="H398" s="1" t="s">
        <v>17</v>
      </c>
      <c r="I398" s="1" t="s">
        <v>69</v>
      </c>
      <c r="J398" s="17">
        <v>46217</v>
      </c>
      <c r="K398" s="3">
        <v>46234</v>
      </c>
      <c r="L398" s="3" t="s">
        <v>139</v>
      </c>
    </row>
    <row r="399" spans="1:12" s="86" customFormat="1">
      <c r="A399" s="1">
        <v>5044</v>
      </c>
      <c r="B399" s="1">
        <v>14361</v>
      </c>
      <c r="C399" s="94" t="s">
        <v>1533</v>
      </c>
      <c r="D399" s="1" t="s">
        <v>1534</v>
      </c>
      <c r="E399" s="95">
        <v>1901.14</v>
      </c>
      <c r="F399" s="49">
        <v>1615.9690000000001</v>
      </c>
      <c r="G399" s="49">
        <v>-285.17100000000005</v>
      </c>
      <c r="H399" s="1" t="s">
        <v>17</v>
      </c>
      <c r="I399" s="1" t="s">
        <v>69</v>
      </c>
      <c r="J399" s="17">
        <v>46217</v>
      </c>
      <c r="K399" s="3">
        <v>46234</v>
      </c>
      <c r="L399" s="3" t="s">
        <v>139</v>
      </c>
    </row>
    <row r="400" spans="1:12" s="86" customFormat="1">
      <c r="A400" s="1">
        <v>341</v>
      </c>
      <c r="B400" s="1">
        <v>14408</v>
      </c>
      <c r="C400" s="94" t="s">
        <v>1535</v>
      </c>
      <c r="D400" s="1" t="s">
        <v>1536</v>
      </c>
      <c r="E400" s="95">
        <v>2195.75</v>
      </c>
      <c r="F400" s="49">
        <v>1932.26</v>
      </c>
      <c r="G400" s="49">
        <v>-263.49</v>
      </c>
      <c r="H400" s="1" t="s">
        <v>17</v>
      </c>
      <c r="I400" s="1" t="s">
        <v>115</v>
      </c>
      <c r="J400" s="17">
        <v>46217</v>
      </c>
      <c r="K400" s="3">
        <v>46234</v>
      </c>
      <c r="L400" s="3" t="s">
        <v>139</v>
      </c>
    </row>
    <row r="401" spans="1:12" s="86" customFormat="1">
      <c r="A401" s="1">
        <v>667032</v>
      </c>
      <c r="B401" s="1">
        <v>46729</v>
      </c>
      <c r="C401" s="94">
        <v>7791813434023</v>
      </c>
      <c r="D401" s="1" t="s">
        <v>1541</v>
      </c>
      <c r="E401" s="95">
        <v>2152.5630000000001</v>
      </c>
      <c r="F401" s="49">
        <v>1076.2815000000001</v>
      </c>
      <c r="G401" s="49">
        <v>-1076.2815000000001</v>
      </c>
      <c r="H401" s="1" t="s">
        <v>14</v>
      </c>
      <c r="I401" s="1" t="s">
        <v>638</v>
      </c>
      <c r="J401" s="17">
        <v>46217</v>
      </c>
      <c r="K401" s="3">
        <v>46223</v>
      </c>
      <c r="L401" s="3" t="s">
        <v>16</v>
      </c>
    </row>
    <row r="402" spans="1:12" s="86" customFormat="1">
      <c r="A402" s="1">
        <v>667031</v>
      </c>
      <c r="B402" s="1">
        <v>46587</v>
      </c>
      <c r="C402" s="94">
        <v>7791813434016</v>
      </c>
      <c r="D402" s="1" t="s">
        <v>1542</v>
      </c>
      <c r="E402" s="95">
        <v>2152.5630000000001</v>
      </c>
      <c r="F402" s="49">
        <v>1076.2815000000001</v>
      </c>
      <c r="G402" s="49">
        <v>-1076.2815000000001</v>
      </c>
      <c r="H402" s="1" t="s">
        <v>14</v>
      </c>
      <c r="I402" s="1" t="s">
        <v>638</v>
      </c>
      <c r="J402" s="17">
        <v>46217</v>
      </c>
      <c r="K402" s="3">
        <v>46223</v>
      </c>
      <c r="L402" s="3" t="s">
        <v>16</v>
      </c>
    </row>
    <row r="403" spans="1:12" s="86" customFormat="1">
      <c r="A403" s="1">
        <v>102193</v>
      </c>
      <c r="B403" s="1">
        <v>4013</v>
      </c>
      <c r="C403" s="94" t="s">
        <v>1543</v>
      </c>
      <c r="D403" s="1" t="s">
        <v>1544</v>
      </c>
      <c r="E403" s="95">
        <v>370</v>
      </c>
      <c r="F403" s="49">
        <v>333.33</v>
      </c>
      <c r="G403" s="49">
        <v>-36.670000000000016</v>
      </c>
      <c r="H403" s="1" t="s">
        <v>654</v>
      </c>
      <c r="I403" s="1" t="s">
        <v>1545</v>
      </c>
      <c r="J403" s="17">
        <v>46217</v>
      </c>
      <c r="K403" s="3">
        <v>46234</v>
      </c>
      <c r="L403" s="3" t="s">
        <v>58</v>
      </c>
    </row>
    <row r="404" spans="1:12" s="86" customFormat="1">
      <c r="A404" s="1">
        <v>666045</v>
      </c>
      <c r="B404" s="1">
        <v>3604</v>
      </c>
      <c r="C404" s="94">
        <v>7798334803604</v>
      </c>
      <c r="D404" s="1" t="s">
        <v>1546</v>
      </c>
      <c r="E404" s="95">
        <v>3731.8209999999999</v>
      </c>
      <c r="F404" s="49">
        <v>3172.0478499999999</v>
      </c>
      <c r="G404" s="49">
        <v>-559.77314999999999</v>
      </c>
      <c r="H404" s="1" t="s">
        <v>17</v>
      </c>
      <c r="I404" s="1" t="s">
        <v>69</v>
      </c>
      <c r="J404" s="17">
        <v>46218</v>
      </c>
      <c r="K404" s="3">
        <v>46236</v>
      </c>
      <c r="L404" s="3" t="s">
        <v>62</v>
      </c>
    </row>
    <row r="405" spans="1:12" s="86" customFormat="1">
      <c r="A405" s="1">
        <v>666046</v>
      </c>
      <c r="B405" s="1">
        <v>3673</v>
      </c>
      <c r="C405" s="94">
        <v>7798334803673</v>
      </c>
      <c r="D405" s="1" t="s">
        <v>1547</v>
      </c>
      <c r="E405" s="95">
        <v>3731.8209999999999</v>
      </c>
      <c r="F405" s="49">
        <v>3172.0478499999999</v>
      </c>
      <c r="G405" s="49">
        <v>-559.77314999999999</v>
      </c>
      <c r="H405" s="1" t="s">
        <v>17</v>
      </c>
      <c r="I405" s="1" t="s">
        <v>69</v>
      </c>
      <c r="J405" s="17">
        <v>46218</v>
      </c>
      <c r="K405" s="3">
        <v>46236</v>
      </c>
      <c r="L405" s="3" t="s">
        <v>62</v>
      </c>
    </row>
    <row r="406" spans="1:12" s="86" customFormat="1">
      <c r="A406" s="1">
        <v>666043</v>
      </c>
      <c r="B406" s="1">
        <v>567</v>
      </c>
      <c r="C406" s="94">
        <v>7798334803567</v>
      </c>
      <c r="D406" s="1" t="s">
        <v>1548</v>
      </c>
      <c r="E406" s="95">
        <v>3977.451</v>
      </c>
      <c r="F406" s="49">
        <v>3380.8333499999999</v>
      </c>
      <c r="G406" s="49">
        <v>-596.61765000000014</v>
      </c>
      <c r="H406" s="1" t="s">
        <v>17</v>
      </c>
      <c r="I406" s="1" t="s">
        <v>69</v>
      </c>
      <c r="J406" s="17">
        <v>46218</v>
      </c>
      <c r="K406" s="3">
        <v>46236</v>
      </c>
      <c r="L406" s="3" t="s">
        <v>62</v>
      </c>
    </row>
    <row r="407" spans="1:12" s="86" customFormat="1">
      <c r="A407" s="1">
        <v>666047</v>
      </c>
      <c r="B407" s="1">
        <v>3598</v>
      </c>
      <c r="C407" s="94">
        <v>7798334803598</v>
      </c>
      <c r="D407" s="1" t="s">
        <v>1549</v>
      </c>
      <c r="E407" s="95">
        <v>3731.8209999999999</v>
      </c>
      <c r="F407" s="49">
        <v>3172.0478499999999</v>
      </c>
      <c r="G407" s="49">
        <v>-559.77314999999999</v>
      </c>
      <c r="H407" s="1" t="s">
        <v>17</v>
      </c>
      <c r="I407" s="1" t="s">
        <v>69</v>
      </c>
      <c r="J407" s="17">
        <v>46218</v>
      </c>
      <c r="K407" s="3">
        <v>46236</v>
      </c>
      <c r="L407" s="3" t="s">
        <v>62</v>
      </c>
    </row>
    <row r="408" spans="1:12" s="86" customFormat="1">
      <c r="A408" s="1">
        <v>666052</v>
      </c>
      <c r="B408" s="1">
        <v>3642</v>
      </c>
      <c r="C408" s="94">
        <v>7798334803642</v>
      </c>
      <c r="D408" s="1" t="s">
        <v>1550</v>
      </c>
      <c r="E408" s="95">
        <v>3449.3470000000002</v>
      </c>
      <c r="F408" s="49">
        <v>2931.9449500000001</v>
      </c>
      <c r="G408" s="49">
        <v>-517.40205000000014</v>
      </c>
      <c r="H408" s="1" t="s">
        <v>17</v>
      </c>
      <c r="I408" s="1" t="s">
        <v>69</v>
      </c>
      <c r="J408" s="17">
        <v>46218</v>
      </c>
      <c r="K408" s="3">
        <v>46236</v>
      </c>
      <c r="L408" s="3" t="s">
        <v>62</v>
      </c>
    </row>
    <row r="409" spans="1:12" s="86" customFormat="1">
      <c r="A409" s="1">
        <v>666817</v>
      </c>
      <c r="B409" s="1">
        <v>30208</v>
      </c>
      <c r="C409" s="94">
        <v>7798126291114</v>
      </c>
      <c r="D409" s="1" t="s">
        <v>1551</v>
      </c>
      <c r="E409" s="95">
        <v>9465.5280000000002</v>
      </c>
      <c r="F409" s="49">
        <v>8518.9752000000008</v>
      </c>
      <c r="G409" s="49">
        <v>-946.55279999999948</v>
      </c>
      <c r="H409" s="1" t="s">
        <v>17</v>
      </c>
      <c r="I409" s="1" t="s">
        <v>22</v>
      </c>
      <c r="J409" s="17">
        <v>46218</v>
      </c>
      <c r="K409" s="3">
        <v>46236</v>
      </c>
      <c r="L409" s="3" t="s">
        <v>62</v>
      </c>
    </row>
    <row r="410" spans="1:12" s="86" customFormat="1">
      <c r="A410" s="1">
        <v>666816</v>
      </c>
      <c r="B410" s="1">
        <v>30108</v>
      </c>
      <c r="C410" s="94">
        <v>7798126291107</v>
      </c>
      <c r="D410" s="1" t="s">
        <v>1552</v>
      </c>
      <c r="E410" s="95">
        <v>9465.5280000000002</v>
      </c>
      <c r="F410" s="49">
        <v>8518.9752000000008</v>
      </c>
      <c r="G410" s="49">
        <v>-946.55279999999948</v>
      </c>
      <c r="H410" s="1" t="s">
        <v>17</v>
      </c>
      <c r="I410" s="1" t="s">
        <v>22</v>
      </c>
      <c r="J410" s="17">
        <v>46218</v>
      </c>
      <c r="K410" s="3">
        <v>46236</v>
      </c>
      <c r="L410" s="3" t="s">
        <v>62</v>
      </c>
    </row>
    <row r="411" spans="1:12" s="86" customFormat="1">
      <c r="A411" s="1">
        <v>659221</v>
      </c>
      <c r="B411" s="1">
        <v>60108</v>
      </c>
      <c r="C411" s="94">
        <v>7798126290889</v>
      </c>
      <c r="D411" s="1" t="s">
        <v>1553</v>
      </c>
      <c r="E411" s="95">
        <v>8211.06</v>
      </c>
      <c r="F411" s="49">
        <v>7389.9539999999997</v>
      </c>
      <c r="G411" s="49">
        <v>-821.10599999999977</v>
      </c>
      <c r="H411" s="1" t="s">
        <v>17</v>
      </c>
      <c r="I411" s="1" t="s">
        <v>22</v>
      </c>
      <c r="J411" s="17">
        <v>46218</v>
      </c>
      <c r="K411" s="3">
        <v>46236</v>
      </c>
      <c r="L411" s="3" t="s">
        <v>62</v>
      </c>
    </row>
    <row r="412" spans="1:12" s="86" customFormat="1">
      <c r="A412" s="1">
        <v>666305</v>
      </c>
      <c r="B412" s="1">
        <v>80201</v>
      </c>
      <c r="C412" s="94">
        <v>7798126291541</v>
      </c>
      <c r="D412" s="1" t="s">
        <v>1554</v>
      </c>
      <c r="E412" s="95">
        <v>6500.4219999999996</v>
      </c>
      <c r="F412" s="49">
        <v>5850.3797999999997</v>
      </c>
      <c r="G412" s="49">
        <v>-650.04219999999987</v>
      </c>
      <c r="H412" s="1" t="s">
        <v>17</v>
      </c>
      <c r="I412" s="1" t="s">
        <v>22</v>
      </c>
      <c r="J412" s="17">
        <v>46218</v>
      </c>
      <c r="K412" s="3">
        <v>46236</v>
      </c>
      <c r="L412" s="3" t="s">
        <v>62</v>
      </c>
    </row>
    <row r="413" spans="1:12" s="86" customFormat="1">
      <c r="A413" s="1">
        <v>666813</v>
      </c>
      <c r="B413" s="1">
        <v>10608</v>
      </c>
      <c r="C413" s="94">
        <v>7798126291084</v>
      </c>
      <c r="D413" s="1" t="s">
        <v>1555</v>
      </c>
      <c r="E413" s="95">
        <v>6842.55</v>
      </c>
      <c r="F413" s="49">
        <v>6158.2950000000001</v>
      </c>
      <c r="G413" s="49">
        <v>-684.25500000000011</v>
      </c>
      <c r="H413" s="1" t="s">
        <v>17</v>
      </c>
      <c r="I413" s="1" t="s">
        <v>22</v>
      </c>
      <c r="J413" s="17">
        <v>46218</v>
      </c>
      <c r="K413" s="3">
        <v>46236</v>
      </c>
      <c r="L413" s="3" t="s">
        <v>62</v>
      </c>
    </row>
    <row r="414" spans="1:12" s="86" customFormat="1">
      <c r="A414" s="1">
        <v>666814</v>
      </c>
      <c r="B414" s="1">
        <v>10708</v>
      </c>
      <c r="C414" s="94">
        <v>7798126291091</v>
      </c>
      <c r="D414" s="1" t="s">
        <v>1556</v>
      </c>
      <c r="E414" s="95">
        <v>6842.55</v>
      </c>
      <c r="F414" s="49">
        <v>6158.2950000000001</v>
      </c>
      <c r="G414" s="49">
        <v>-684.25500000000011</v>
      </c>
      <c r="H414" s="1" t="s">
        <v>17</v>
      </c>
      <c r="I414" s="1" t="s">
        <v>22</v>
      </c>
      <c r="J414" s="17">
        <v>46218</v>
      </c>
      <c r="K414" s="3">
        <v>46236</v>
      </c>
      <c r="L414" s="3" t="s">
        <v>62</v>
      </c>
    </row>
    <row r="415" spans="1:12" s="86" customFormat="1">
      <c r="A415" s="1">
        <v>659001</v>
      </c>
      <c r="B415" s="1">
        <v>40101</v>
      </c>
      <c r="C415" s="94">
        <v>7798126290667</v>
      </c>
      <c r="D415" s="1" t="s">
        <v>1557</v>
      </c>
      <c r="E415" s="95">
        <v>8553.1880000000001</v>
      </c>
      <c r="F415" s="49">
        <v>7697.8692000000001</v>
      </c>
      <c r="G415" s="49">
        <v>-855.31880000000001</v>
      </c>
      <c r="H415" s="1" t="s">
        <v>17</v>
      </c>
      <c r="I415" s="1" t="s">
        <v>22</v>
      </c>
      <c r="J415" s="17">
        <v>46218</v>
      </c>
      <c r="K415" s="3">
        <v>46236</v>
      </c>
      <c r="L415" s="3" t="s">
        <v>62</v>
      </c>
    </row>
    <row r="416" spans="1:12" s="86" customFormat="1">
      <c r="A416" s="1">
        <v>666821</v>
      </c>
      <c r="B416" s="1">
        <v>80301</v>
      </c>
      <c r="C416" s="94">
        <v>7798126291626</v>
      </c>
      <c r="D416" s="1" t="s">
        <v>1558</v>
      </c>
      <c r="E416" s="95">
        <v>6500.4219999999996</v>
      </c>
      <c r="F416" s="49">
        <v>5850.3797999999997</v>
      </c>
      <c r="G416" s="49">
        <v>-650.04219999999987</v>
      </c>
      <c r="H416" s="1" t="s">
        <v>17</v>
      </c>
      <c r="I416" s="1" t="s">
        <v>22</v>
      </c>
      <c r="J416" s="17">
        <v>46218</v>
      </c>
      <c r="K416" s="3">
        <v>46236</v>
      </c>
      <c r="L416" s="3" t="s">
        <v>62</v>
      </c>
    </row>
    <row r="417" spans="1:12" s="86" customFormat="1">
      <c r="A417" s="1">
        <v>665528</v>
      </c>
      <c r="B417" s="1">
        <v>30408</v>
      </c>
      <c r="C417" s="94">
        <v>7798126291138</v>
      </c>
      <c r="D417" s="1" t="s">
        <v>1559</v>
      </c>
      <c r="E417" s="95">
        <v>7185</v>
      </c>
      <c r="F417" s="49">
        <v>6466.5</v>
      </c>
      <c r="G417" s="49">
        <v>-718.5</v>
      </c>
      <c r="H417" s="1" t="s">
        <v>17</v>
      </c>
      <c r="I417" s="1" t="s">
        <v>22</v>
      </c>
      <c r="J417" s="17">
        <v>46218</v>
      </c>
      <c r="K417" s="3">
        <v>46236</v>
      </c>
      <c r="L417" s="3" t="s">
        <v>62</v>
      </c>
    </row>
    <row r="418" spans="1:12" s="86" customFormat="1">
      <c r="A418" s="1">
        <v>666819</v>
      </c>
      <c r="B418" s="1">
        <v>0</v>
      </c>
      <c r="C418" s="94">
        <v>7798126291862</v>
      </c>
      <c r="D418" s="1" t="s">
        <v>1560</v>
      </c>
      <c r="E418" s="95">
        <v>19615.310000000001</v>
      </c>
      <c r="F418" s="49">
        <v>17653.779000000002</v>
      </c>
      <c r="G418" s="49">
        <v>-1961.530999999999</v>
      </c>
      <c r="H418" s="1" t="s">
        <v>17</v>
      </c>
      <c r="I418" s="1" t="s">
        <v>22</v>
      </c>
      <c r="J418" s="17">
        <v>46218</v>
      </c>
      <c r="K418" s="3">
        <v>46236</v>
      </c>
      <c r="L418" s="3" t="s">
        <v>62</v>
      </c>
    </row>
    <row r="419" spans="1:12" s="86" customFormat="1">
      <c r="A419" s="1">
        <v>666818</v>
      </c>
      <c r="B419" s="1">
        <v>30308</v>
      </c>
      <c r="C419" s="94">
        <v>7798126291121</v>
      </c>
      <c r="D419" s="1" t="s">
        <v>1561</v>
      </c>
      <c r="E419" s="95">
        <v>8393.5280000000002</v>
      </c>
      <c r="F419" s="49">
        <v>7554.1752000000006</v>
      </c>
      <c r="G419" s="49">
        <v>-839.35279999999966</v>
      </c>
      <c r="H419" s="1" t="s">
        <v>17</v>
      </c>
      <c r="I419" s="1" t="s">
        <v>22</v>
      </c>
      <c r="J419" s="17">
        <v>46218</v>
      </c>
      <c r="K419" s="3">
        <v>46236</v>
      </c>
      <c r="L419" s="3" t="s">
        <v>62</v>
      </c>
    </row>
    <row r="420" spans="1:12" s="86" customFormat="1">
      <c r="A420" s="1">
        <v>666822</v>
      </c>
      <c r="B420" s="1">
        <v>80101</v>
      </c>
      <c r="C420" s="94">
        <v>7798126291589</v>
      </c>
      <c r="D420" s="1" t="s">
        <v>1562</v>
      </c>
      <c r="E420" s="95">
        <v>5428.4229999999998</v>
      </c>
      <c r="F420" s="49">
        <v>4885.5806999999995</v>
      </c>
      <c r="G420" s="49">
        <v>-542.84230000000025</v>
      </c>
      <c r="H420" s="1" t="s">
        <v>17</v>
      </c>
      <c r="I420" s="1" t="s">
        <v>22</v>
      </c>
      <c r="J420" s="17">
        <v>46218</v>
      </c>
      <c r="K420" s="3">
        <v>46236</v>
      </c>
      <c r="L420" s="3" t="s">
        <v>62</v>
      </c>
    </row>
    <row r="421" spans="1:12" s="86" customFormat="1">
      <c r="A421" s="78">
        <v>3832</v>
      </c>
      <c r="B421" s="78">
        <v>132630</v>
      </c>
      <c r="C421" s="107">
        <v>7798062548679</v>
      </c>
      <c r="D421" s="78" t="s">
        <v>1563</v>
      </c>
      <c r="E421" s="100">
        <v>2900</v>
      </c>
      <c r="F421" s="70">
        <v>2175</v>
      </c>
      <c r="G421" s="70">
        <v>-725</v>
      </c>
      <c r="H421" s="78" t="s">
        <v>17</v>
      </c>
      <c r="I421" s="78" t="s">
        <v>23</v>
      </c>
      <c r="J421" s="79">
        <v>46220</v>
      </c>
      <c r="K421" s="80">
        <v>46222</v>
      </c>
      <c r="L421" s="80" t="s">
        <v>16</v>
      </c>
    </row>
    <row r="422" spans="1:12" s="86" customFormat="1">
      <c r="A422" s="78">
        <v>7133</v>
      </c>
      <c r="B422" s="78">
        <v>133145</v>
      </c>
      <c r="C422" s="107">
        <v>7798062548709</v>
      </c>
      <c r="D422" s="78" t="s">
        <v>1564</v>
      </c>
      <c r="E422" s="100">
        <v>2900</v>
      </c>
      <c r="F422" s="70">
        <v>2175</v>
      </c>
      <c r="G422" s="70">
        <v>-725</v>
      </c>
      <c r="H422" s="78" t="s">
        <v>17</v>
      </c>
      <c r="I422" s="78" t="s">
        <v>23</v>
      </c>
      <c r="J422" s="79">
        <v>46220</v>
      </c>
      <c r="K422" s="80">
        <v>46222</v>
      </c>
      <c r="L422" s="80" t="s">
        <v>16</v>
      </c>
    </row>
    <row r="423" spans="1:12" s="86" customFormat="1">
      <c r="A423" s="78">
        <v>11145</v>
      </c>
      <c r="B423" s="78">
        <v>133148</v>
      </c>
      <c r="C423" s="107">
        <v>7798062540253</v>
      </c>
      <c r="D423" s="78" t="s">
        <v>1565</v>
      </c>
      <c r="E423" s="100">
        <v>2900</v>
      </c>
      <c r="F423" s="70">
        <v>2175</v>
      </c>
      <c r="G423" s="70">
        <v>-725</v>
      </c>
      <c r="H423" s="78" t="s">
        <v>17</v>
      </c>
      <c r="I423" s="78" t="s">
        <v>23</v>
      </c>
      <c r="J423" s="79">
        <v>46220</v>
      </c>
      <c r="K423" s="80">
        <v>46222</v>
      </c>
      <c r="L423" s="80" t="s">
        <v>16</v>
      </c>
    </row>
    <row r="424" spans="1:12" s="86" customFormat="1">
      <c r="A424" s="78">
        <v>666460</v>
      </c>
      <c r="B424" s="78">
        <v>197232</v>
      </c>
      <c r="C424" s="107">
        <v>7799155001699</v>
      </c>
      <c r="D424" s="78" t="s">
        <v>1566</v>
      </c>
      <c r="E424" s="100">
        <v>2900</v>
      </c>
      <c r="F424" s="70">
        <v>2175</v>
      </c>
      <c r="G424" s="70">
        <v>-725</v>
      </c>
      <c r="H424" s="78" t="s">
        <v>17</v>
      </c>
      <c r="I424" s="78" t="s">
        <v>23</v>
      </c>
      <c r="J424" s="79">
        <v>46220</v>
      </c>
      <c r="K424" s="80">
        <v>46222</v>
      </c>
      <c r="L424" s="80" t="s">
        <v>16</v>
      </c>
    </row>
    <row r="425" spans="1:12" s="86" customFormat="1">
      <c r="A425" s="78">
        <v>884</v>
      </c>
      <c r="B425" s="78">
        <v>2117</v>
      </c>
      <c r="C425" s="107">
        <v>7792798012923</v>
      </c>
      <c r="D425" s="78" t="s">
        <v>629</v>
      </c>
      <c r="E425" s="100">
        <v>2720</v>
      </c>
      <c r="F425" s="70">
        <v>1360</v>
      </c>
      <c r="G425" s="70">
        <v>-1360</v>
      </c>
      <c r="H425" s="78" t="s">
        <v>14</v>
      </c>
      <c r="I425" s="78" t="s">
        <v>638</v>
      </c>
      <c r="J425" s="79">
        <v>46220</v>
      </c>
      <c r="K425" s="80">
        <v>46223</v>
      </c>
      <c r="L425" s="80" t="s">
        <v>16</v>
      </c>
    </row>
    <row r="426" spans="1:12" s="86" customFormat="1">
      <c r="A426" s="78">
        <v>5161</v>
      </c>
      <c r="B426" s="78">
        <v>23307</v>
      </c>
      <c r="C426" s="107">
        <v>7795697611167</v>
      </c>
      <c r="D426" s="78" t="s">
        <v>1567</v>
      </c>
      <c r="E426" s="100">
        <v>1974.614</v>
      </c>
      <c r="F426" s="70">
        <v>1520</v>
      </c>
      <c r="G426" s="70">
        <v>-454.61400000000003</v>
      </c>
      <c r="H426" s="78" t="s">
        <v>17</v>
      </c>
      <c r="I426" s="78" t="s">
        <v>1568</v>
      </c>
      <c r="J426" s="79">
        <v>46220</v>
      </c>
      <c r="K426" s="80">
        <v>46234</v>
      </c>
      <c r="L426" s="80" t="s">
        <v>16</v>
      </c>
    </row>
    <row r="427" spans="1:12" s="86" customFormat="1">
      <c r="A427" s="78">
        <v>665816</v>
      </c>
      <c r="B427" s="78">
        <v>2115</v>
      </c>
      <c r="C427" s="107">
        <v>7790411002115</v>
      </c>
      <c r="D427" s="78" t="s">
        <v>1569</v>
      </c>
      <c r="E427" s="100">
        <v>2437.0430000000001</v>
      </c>
      <c r="F427" s="70">
        <v>1218.5215000000001</v>
      </c>
      <c r="G427" s="70">
        <v>-1218.5215000000001</v>
      </c>
      <c r="H427" s="78" t="s">
        <v>14</v>
      </c>
      <c r="I427" s="78" t="s">
        <v>638</v>
      </c>
      <c r="J427" s="79">
        <v>46220</v>
      </c>
      <c r="K427" s="80">
        <v>46234</v>
      </c>
      <c r="L427" s="80" t="s">
        <v>139</v>
      </c>
    </row>
    <row r="428" spans="1:12" s="86" customFormat="1">
      <c r="A428" s="78">
        <v>13261</v>
      </c>
      <c r="B428" s="78">
        <v>23163</v>
      </c>
      <c r="C428" s="107">
        <v>7793147118945</v>
      </c>
      <c r="D428" s="78" t="s">
        <v>1570</v>
      </c>
      <c r="E428" s="100">
        <v>2493.33</v>
      </c>
      <c r="F428" s="70">
        <v>1246.665</v>
      </c>
      <c r="G428" s="70">
        <v>-1246.665</v>
      </c>
      <c r="H428" s="78" t="s">
        <v>14</v>
      </c>
      <c r="I428" s="78" t="s">
        <v>638</v>
      </c>
      <c r="J428" s="79">
        <v>46220</v>
      </c>
      <c r="K428" s="80">
        <v>46222</v>
      </c>
      <c r="L428" s="80" t="s">
        <v>16</v>
      </c>
    </row>
    <row r="429" spans="1:12">
      <c r="A429" s="108">
        <v>8466</v>
      </c>
      <c r="B429" s="108" t="s">
        <v>294</v>
      </c>
      <c r="C429" s="109">
        <v>7796039001639</v>
      </c>
      <c r="D429" s="108" t="s">
        <v>295</v>
      </c>
      <c r="E429" s="110">
        <v>4586</v>
      </c>
      <c r="F429" s="110">
        <v>3668.8</v>
      </c>
      <c r="G429" s="111">
        <v>-874.75</v>
      </c>
      <c r="H429" s="108" t="s">
        <v>112</v>
      </c>
      <c r="I429" s="108" t="s">
        <v>74</v>
      </c>
      <c r="J429" s="112">
        <v>46210</v>
      </c>
      <c r="K429" s="112">
        <v>46234</v>
      </c>
      <c r="L429" s="113" t="s">
        <v>62</v>
      </c>
    </row>
    <row r="430" spans="1:12">
      <c r="A430" s="114">
        <v>664895</v>
      </c>
      <c r="B430" s="114">
        <v>2</v>
      </c>
      <c r="C430" s="115">
        <v>7798089020110</v>
      </c>
      <c r="D430" s="114" t="s">
        <v>253</v>
      </c>
      <c r="E430" s="116">
        <v>1657.5540000000001</v>
      </c>
      <c r="F430" s="116">
        <v>1326.0432000000001</v>
      </c>
      <c r="G430" s="117">
        <v>-331.51080000000002</v>
      </c>
      <c r="H430" s="114" t="s">
        <v>112</v>
      </c>
      <c r="I430" s="114" t="s">
        <v>74</v>
      </c>
      <c r="J430" s="118">
        <v>46220</v>
      </c>
      <c r="K430" s="118">
        <v>46234</v>
      </c>
      <c r="L430" s="114" t="s">
        <v>62</v>
      </c>
    </row>
    <row r="431" spans="1:12">
      <c r="A431" s="113">
        <v>101429</v>
      </c>
      <c r="B431" s="113">
        <v>50011</v>
      </c>
      <c r="C431" s="119">
        <v>7790503198450</v>
      </c>
      <c r="D431" s="113" t="s">
        <v>296</v>
      </c>
      <c r="E431" s="120">
        <v>1748.75</v>
      </c>
      <c r="F431" s="120">
        <v>1399</v>
      </c>
      <c r="G431" s="121">
        <v>-349.75</v>
      </c>
      <c r="H431" s="113" t="s">
        <v>112</v>
      </c>
      <c r="I431" s="113" t="s">
        <v>74</v>
      </c>
      <c r="J431" s="122">
        <v>46204</v>
      </c>
      <c r="K431" s="122">
        <v>46234</v>
      </c>
      <c r="L431" s="113" t="s">
        <v>62</v>
      </c>
    </row>
    <row r="432" spans="1:12">
      <c r="A432" s="113">
        <v>4526</v>
      </c>
      <c r="B432" s="113">
        <v>5444</v>
      </c>
      <c r="C432" s="119">
        <v>7798156760024</v>
      </c>
      <c r="D432" s="113" t="s">
        <v>297</v>
      </c>
      <c r="E432" s="120">
        <v>812.5</v>
      </c>
      <c r="F432" s="120">
        <v>650</v>
      </c>
      <c r="G432" s="121">
        <v>-162.5</v>
      </c>
      <c r="H432" s="113" t="s">
        <v>112</v>
      </c>
      <c r="I432" s="113" t="s">
        <v>74</v>
      </c>
      <c r="J432" s="122">
        <v>46204</v>
      </c>
      <c r="K432" s="122">
        <v>46234</v>
      </c>
      <c r="L432" s="113" t="s">
        <v>62</v>
      </c>
    </row>
    <row r="433" spans="1:12">
      <c r="A433" s="113">
        <v>7458</v>
      </c>
      <c r="B433" s="113" t="s">
        <v>294</v>
      </c>
      <c r="C433" s="119">
        <v>7798141971381</v>
      </c>
      <c r="D433" s="113" t="s">
        <v>298</v>
      </c>
      <c r="E433" s="120">
        <v>1748.75</v>
      </c>
      <c r="F433" s="120">
        <v>1399</v>
      </c>
      <c r="G433" s="121">
        <v>-349.75</v>
      </c>
      <c r="H433" s="113" t="s">
        <v>112</v>
      </c>
      <c r="I433" s="113" t="s">
        <v>74</v>
      </c>
      <c r="J433" s="122">
        <v>46204</v>
      </c>
      <c r="K433" s="122">
        <v>46234</v>
      </c>
      <c r="L433" s="113" t="s">
        <v>139</v>
      </c>
    </row>
    <row r="434" spans="1:12">
      <c r="A434" s="113">
        <v>8213</v>
      </c>
      <c r="B434" s="113">
        <v>24683</v>
      </c>
      <c r="C434" s="119">
        <v>7793147118822</v>
      </c>
      <c r="D434" s="113" t="s">
        <v>299</v>
      </c>
      <c r="E434" s="120">
        <v>2231.25</v>
      </c>
      <c r="F434" s="120">
        <v>1785</v>
      </c>
      <c r="G434" s="121">
        <v>-446.25</v>
      </c>
      <c r="H434" s="113" t="s">
        <v>112</v>
      </c>
      <c r="I434" s="113" t="s">
        <v>74</v>
      </c>
      <c r="J434" s="122">
        <v>46204</v>
      </c>
      <c r="K434" s="122">
        <v>46234</v>
      </c>
      <c r="L434" s="113" t="s">
        <v>16</v>
      </c>
    </row>
    <row r="435" spans="1:12">
      <c r="A435" s="113">
        <v>12379</v>
      </c>
      <c r="B435" s="113">
        <v>30616</v>
      </c>
      <c r="C435" s="119">
        <v>7791885001208</v>
      </c>
      <c r="D435" s="113" t="s">
        <v>300</v>
      </c>
      <c r="E435" s="120">
        <v>1998.75</v>
      </c>
      <c r="F435" s="120">
        <v>1599</v>
      </c>
      <c r="G435" s="121">
        <v>-399.75</v>
      </c>
      <c r="H435" s="113" t="s">
        <v>112</v>
      </c>
      <c r="I435" s="113" t="s">
        <v>74</v>
      </c>
      <c r="J435" s="122">
        <v>46204</v>
      </c>
      <c r="K435" s="122">
        <v>46234</v>
      </c>
      <c r="L435" s="113" t="s">
        <v>62</v>
      </c>
    </row>
    <row r="436" spans="1:12">
      <c r="A436" s="113">
        <v>12380</v>
      </c>
      <c r="B436" s="113">
        <v>30617</v>
      </c>
      <c r="C436" s="119">
        <v>7791885001550</v>
      </c>
      <c r="D436" s="113" t="s">
        <v>301</v>
      </c>
      <c r="E436" s="120">
        <v>1998.75</v>
      </c>
      <c r="F436" s="120">
        <v>1599</v>
      </c>
      <c r="G436" s="121">
        <v>-399.75</v>
      </c>
      <c r="H436" s="113" t="s">
        <v>112</v>
      </c>
      <c r="I436" s="113" t="s">
        <v>74</v>
      </c>
      <c r="J436" s="122">
        <v>46204</v>
      </c>
      <c r="K436" s="122">
        <v>46234</v>
      </c>
      <c r="L436" s="113" t="s">
        <v>62</v>
      </c>
    </row>
    <row r="437" spans="1:12">
      <c r="A437" s="113">
        <v>4845</v>
      </c>
      <c r="B437" s="113">
        <v>9549506</v>
      </c>
      <c r="C437" s="119">
        <v>7590002018149</v>
      </c>
      <c r="D437" s="113" t="s">
        <v>302</v>
      </c>
      <c r="E437" s="120">
        <v>2498.75</v>
      </c>
      <c r="F437" s="120">
        <v>1999</v>
      </c>
      <c r="G437" s="121">
        <v>-499.75</v>
      </c>
      <c r="H437" s="113" t="s">
        <v>112</v>
      </c>
      <c r="I437" s="113" t="s">
        <v>74</v>
      </c>
      <c r="J437" s="122">
        <v>46204</v>
      </c>
      <c r="K437" s="122">
        <v>46234</v>
      </c>
      <c r="L437" s="113" t="s">
        <v>138</v>
      </c>
    </row>
    <row r="438" spans="1:12">
      <c r="A438" s="113">
        <v>14266</v>
      </c>
      <c r="B438" s="113">
        <v>6253</v>
      </c>
      <c r="C438" s="119">
        <v>7793940446009</v>
      </c>
      <c r="D438" s="113" t="s">
        <v>303</v>
      </c>
      <c r="E438" s="120">
        <v>3937.5</v>
      </c>
      <c r="F438" s="120">
        <v>3150</v>
      </c>
      <c r="G438" s="121">
        <v>-787.5</v>
      </c>
      <c r="H438" s="113" t="s">
        <v>112</v>
      </c>
      <c r="I438" s="113" t="s">
        <v>74</v>
      </c>
      <c r="J438" s="122">
        <v>46204</v>
      </c>
      <c r="K438" s="122">
        <v>46234</v>
      </c>
      <c r="L438" s="113" t="s">
        <v>139</v>
      </c>
    </row>
    <row r="439" spans="1:12">
      <c r="A439" s="113">
        <v>3543</v>
      </c>
      <c r="B439" s="113">
        <v>6252</v>
      </c>
      <c r="C439" s="119">
        <v>7790742140609</v>
      </c>
      <c r="D439" s="113" t="s">
        <v>304</v>
      </c>
      <c r="E439" s="120">
        <v>4312.5</v>
      </c>
      <c r="F439" s="120">
        <v>3450</v>
      </c>
      <c r="G439" s="121">
        <v>-862.5</v>
      </c>
      <c r="H439" s="113" t="s">
        <v>112</v>
      </c>
      <c r="I439" s="113" t="s">
        <v>74</v>
      </c>
      <c r="J439" s="122">
        <v>46204</v>
      </c>
      <c r="K439" s="122">
        <v>46234</v>
      </c>
      <c r="L439" s="113" t="s">
        <v>139</v>
      </c>
    </row>
    <row r="440" spans="1:12">
      <c r="A440" s="123">
        <v>19639</v>
      </c>
      <c r="B440" s="123">
        <v>32032</v>
      </c>
      <c r="C440" s="124">
        <v>7790070320322</v>
      </c>
      <c r="D440" s="123" t="s">
        <v>305</v>
      </c>
      <c r="E440" s="125">
        <v>1100</v>
      </c>
      <c r="F440" s="125">
        <f t="shared" ref="F440:F444" si="25">+E440*0.8</f>
        <v>880</v>
      </c>
      <c r="G440" s="126">
        <v>-212.5</v>
      </c>
      <c r="H440" s="123" t="s">
        <v>112</v>
      </c>
      <c r="I440" s="123" t="s">
        <v>74</v>
      </c>
      <c r="J440" s="127">
        <v>46210</v>
      </c>
      <c r="K440" s="127">
        <v>46234</v>
      </c>
      <c r="L440" s="113" t="s">
        <v>62</v>
      </c>
    </row>
    <row r="441" spans="1:12">
      <c r="A441" s="123">
        <v>19637</v>
      </c>
      <c r="B441" s="123">
        <v>32031</v>
      </c>
      <c r="C441" s="124">
        <v>7790070320315</v>
      </c>
      <c r="D441" s="123" t="s">
        <v>306</v>
      </c>
      <c r="E441" s="125">
        <v>1100</v>
      </c>
      <c r="F441" s="125">
        <f t="shared" si="25"/>
        <v>880</v>
      </c>
      <c r="G441" s="126">
        <v>-212.5</v>
      </c>
      <c r="H441" s="123" t="s">
        <v>112</v>
      </c>
      <c r="I441" s="123" t="s">
        <v>74</v>
      </c>
      <c r="J441" s="127">
        <v>46210</v>
      </c>
      <c r="K441" s="127">
        <v>46234</v>
      </c>
      <c r="L441" s="113" t="s">
        <v>62</v>
      </c>
    </row>
    <row r="442" spans="1:12">
      <c r="A442" s="123">
        <v>19640</v>
      </c>
      <c r="B442" s="123">
        <v>32028</v>
      </c>
      <c r="C442" s="124">
        <v>7790070320285</v>
      </c>
      <c r="D442" s="123" t="s">
        <v>307</v>
      </c>
      <c r="E442" s="125">
        <v>1100</v>
      </c>
      <c r="F442" s="125">
        <f t="shared" si="25"/>
        <v>880</v>
      </c>
      <c r="G442" s="126">
        <v>-212.5</v>
      </c>
      <c r="H442" s="123" t="s">
        <v>112</v>
      </c>
      <c r="I442" s="123" t="s">
        <v>74</v>
      </c>
      <c r="J442" s="127">
        <v>46210</v>
      </c>
      <c r="K442" s="127">
        <v>46234</v>
      </c>
      <c r="L442" s="113" t="s">
        <v>62</v>
      </c>
    </row>
    <row r="443" spans="1:12">
      <c r="A443" s="123">
        <v>19641</v>
      </c>
      <c r="B443" s="123">
        <v>32029</v>
      </c>
      <c r="C443" s="124">
        <v>7790070320292</v>
      </c>
      <c r="D443" s="123" t="s">
        <v>308</v>
      </c>
      <c r="E443" s="125">
        <v>1100</v>
      </c>
      <c r="F443" s="125">
        <f t="shared" si="25"/>
        <v>880</v>
      </c>
      <c r="G443" s="126">
        <v>-212.5</v>
      </c>
      <c r="H443" s="123" t="s">
        <v>112</v>
      </c>
      <c r="I443" s="123" t="s">
        <v>74</v>
      </c>
      <c r="J443" s="127">
        <v>46210</v>
      </c>
      <c r="K443" s="127">
        <v>46234</v>
      </c>
      <c r="L443" s="113" t="s">
        <v>62</v>
      </c>
    </row>
    <row r="444" spans="1:12">
      <c r="A444" s="123">
        <v>19638</v>
      </c>
      <c r="B444" s="123">
        <v>32030</v>
      </c>
      <c r="C444" s="124">
        <v>7790070320308</v>
      </c>
      <c r="D444" s="123" t="s">
        <v>309</v>
      </c>
      <c r="E444" s="125">
        <v>1100</v>
      </c>
      <c r="F444" s="125">
        <f t="shared" si="25"/>
        <v>880</v>
      </c>
      <c r="G444" s="126">
        <v>-212.5</v>
      </c>
      <c r="H444" s="123" t="s">
        <v>112</v>
      </c>
      <c r="I444" s="123" t="s">
        <v>74</v>
      </c>
      <c r="J444" s="127">
        <v>46210</v>
      </c>
      <c r="K444" s="127">
        <v>46234</v>
      </c>
      <c r="L444" s="113" t="s">
        <v>62</v>
      </c>
    </row>
    <row r="445" spans="1:12">
      <c r="A445" s="113">
        <v>7985</v>
      </c>
      <c r="B445" s="113">
        <v>2260</v>
      </c>
      <c r="C445" s="119">
        <v>7622300829506</v>
      </c>
      <c r="D445" s="113" t="s">
        <v>310</v>
      </c>
      <c r="E445" s="120">
        <v>3006.25</v>
      </c>
      <c r="F445" s="120">
        <v>2405</v>
      </c>
      <c r="G445" s="121">
        <v>-601.25</v>
      </c>
      <c r="H445" s="113" t="s">
        <v>112</v>
      </c>
      <c r="I445" s="113" t="s">
        <v>74</v>
      </c>
      <c r="J445" s="122">
        <v>46204</v>
      </c>
      <c r="K445" s="122">
        <v>46234</v>
      </c>
      <c r="L445" s="113" t="s">
        <v>139</v>
      </c>
    </row>
    <row r="446" spans="1:12">
      <c r="A446" s="113">
        <v>18818</v>
      </c>
      <c r="B446" s="113">
        <v>0</v>
      </c>
      <c r="C446" s="119">
        <v>7798141972401</v>
      </c>
      <c r="D446" s="113" t="s">
        <v>311</v>
      </c>
      <c r="E446" s="120">
        <v>1623.75</v>
      </c>
      <c r="F446" s="120">
        <v>1299</v>
      </c>
      <c r="G446" s="121">
        <v>-324.75</v>
      </c>
      <c r="H446" s="113" t="s">
        <v>112</v>
      </c>
      <c r="I446" s="113" t="s">
        <v>74</v>
      </c>
      <c r="J446" s="122">
        <v>46204</v>
      </c>
      <c r="K446" s="122">
        <v>46234</v>
      </c>
      <c r="L446" s="113" t="s">
        <v>139</v>
      </c>
    </row>
    <row r="447" spans="1:12">
      <c r="A447" s="113">
        <v>18186</v>
      </c>
      <c r="B447" s="113" t="s">
        <v>294</v>
      </c>
      <c r="C447" s="119">
        <v>7797237000110</v>
      </c>
      <c r="D447" s="113" t="s">
        <v>312</v>
      </c>
      <c r="E447" s="120">
        <v>1623.75</v>
      </c>
      <c r="F447" s="120">
        <v>1299</v>
      </c>
      <c r="G447" s="121">
        <v>-324.75</v>
      </c>
      <c r="H447" s="113" t="s">
        <v>112</v>
      </c>
      <c r="I447" s="113" t="s">
        <v>74</v>
      </c>
      <c r="J447" s="122">
        <v>46204</v>
      </c>
      <c r="K447" s="122">
        <v>46234</v>
      </c>
      <c r="L447" s="113" t="s">
        <v>62</v>
      </c>
    </row>
    <row r="448" spans="1:12">
      <c r="A448" s="113">
        <v>18184</v>
      </c>
      <c r="B448" s="113" t="s">
        <v>294</v>
      </c>
      <c r="C448" s="119">
        <v>7797237000028</v>
      </c>
      <c r="D448" s="113" t="s">
        <v>313</v>
      </c>
      <c r="E448" s="120">
        <v>1162.5</v>
      </c>
      <c r="F448" s="120">
        <v>930</v>
      </c>
      <c r="G448" s="121">
        <v>-232.5</v>
      </c>
      <c r="H448" s="113" t="s">
        <v>112</v>
      </c>
      <c r="I448" s="113" t="s">
        <v>74</v>
      </c>
      <c r="J448" s="122">
        <v>46204</v>
      </c>
      <c r="K448" s="122">
        <v>46234</v>
      </c>
      <c r="L448" s="113" t="s">
        <v>62</v>
      </c>
    </row>
    <row r="449" spans="1:12">
      <c r="A449" s="113">
        <v>6621</v>
      </c>
      <c r="B449" s="113" t="s">
        <v>294</v>
      </c>
      <c r="C449" s="119">
        <v>7797237000080</v>
      </c>
      <c r="D449" s="113" t="s">
        <v>314</v>
      </c>
      <c r="E449" s="120">
        <v>1512.5</v>
      </c>
      <c r="F449" s="120">
        <v>1210</v>
      </c>
      <c r="G449" s="121">
        <v>-302.5</v>
      </c>
      <c r="H449" s="113" t="s">
        <v>112</v>
      </c>
      <c r="I449" s="113" t="s">
        <v>74</v>
      </c>
      <c r="J449" s="122">
        <v>46204</v>
      </c>
      <c r="K449" s="122">
        <v>46234</v>
      </c>
      <c r="L449" s="113" t="s">
        <v>62</v>
      </c>
    </row>
    <row r="450" spans="1:12">
      <c r="A450" s="113">
        <v>3788</v>
      </c>
      <c r="B450" s="113">
        <v>111744</v>
      </c>
      <c r="C450" s="119">
        <v>7798095170267</v>
      </c>
      <c r="D450" s="113" t="s">
        <v>315</v>
      </c>
      <c r="E450" s="120">
        <v>9748.75</v>
      </c>
      <c r="F450" s="120">
        <v>7799</v>
      </c>
      <c r="G450" s="121">
        <v>-1949.75</v>
      </c>
      <c r="H450" s="113" t="s">
        <v>112</v>
      </c>
      <c r="I450" s="113" t="s">
        <v>74</v>
      </c>
      <c r="J450" s="122">
        <v>46204</v>
      </c>
      <c r="K450" s="122">
        <v>46234</v>
      </c>
      <c r="L450" s="113" t="s">
        <v>139</v>
      </c>
    </row>
    <row r="451" spans="1:12">
      <c r="A451" s="113">
        <v>4699</v>
      </c>
      <c r="B451" s="113">
        <v>111720</v>
      </c>
      <c r="C451" s="119">
        <v>7798095170250</v>
      </c>
      <c r="D451" s="113" t="s">
        <v>316</v>
      </c>
      <c r="E451" s="120">
        <v>9748.75</v>
      </c>
      <c r="F451" s="120">
        <v>7799</v>
      </c>
      <c r="G451" s="121">
        <v>-1949.75</v>
      </c>
      <c r="H451" s="113" t="s">
        <v>112</v>
      </c>
      <c r="I451" s="113" t="s">
        <v>74</v>
      </c>
      <c r="J451" s="122">
        <v>46204</v>
      </c>
      <c r="K451" s="122">
        <v>46234</v>
      </c>
      <c r="L451" s="113" t="s">
        <v>139</v>
      </c>
    </row>
    <row r="452" spans="1:12">
      <c r="A452" s="113">
        <v>8612</v>
      </c>
      <c r="B452" s="113">
        <v>1686</v>
      </c>
      <c r="C452" s="119">
        <v>7793913001839</v>
      </c>
      <c r="D452" s="113" t="s">
        <v>317</v>
      </c>
      <c r="E452" s="120">
        <v>2248.75</v>
      </c>
      <c r="F452" s="120">
        <v>1799</v>
      </c>
      <c r="G452" s="121">
        <v>-449.75</v>
      </c>
      <c r="H452" s="113" t="s">
        <v>112</v>
      </c>
      <c r="I452" s="113" t="s">
        <v>74</v>
      </c>
      <c r="J452" s="122">
        <v>46204</v>
      </c>
      <c r="K452" s="122">
        <v>46234</v>
      </c>
      <c r="L452" s="113" t="s">
        <v>139</v>
      </c>
    </row>
    <row r="453" spans="1:12">
      <c r="A453" s="113">
        <v>8610</v>
      </c>
      <c r="B453" s="113">
        <v>1685</v>
      </c>
      <c r="C453" s="119">
        <v>7793913001822</v>
      </c>
      <c r="D453" s="113" t="s">
        <v>318</v>
      </c>
      <c r="E453" s="120">
        <v>2248.75</v>
      </c>
      <c r="F453" s="120">
        <v>1799</v>
      </c>
      <c r="G453" s="121">
        <v>-449.75</v>
      </c>
      <c r="H453" s="113" t="s">
        <v>112</v>
      </c>
      <c r="I453" s="113" t="s">
        <v>74</v>
      </c>
      <c r="J453" s="122">
        <v>46204</v>
      </c>
      <c r="K453" s="122">
        <v>46234</v>
      </c>
      <c r="L453" s="113" t="s">
        <v>139</v>
      </c>
    </row>
    <row r="454" spans="1:12">
      <c r="A454" s="114">
        <v>665981</v>
      </c>
      <c r="B454" s="114">
        <v>1346</v>
      </c>
      <c r="C454" s="115">
        <v>7896053410223</v>
      </c>
      <c r="D454" s="114" t="s">
        <v>319</v>
      </c>
      <c r="E454" s="116">
        <v>9188</v>
      </c>
      <c r="F454" s="116">
        <v>7350.4000000000005</v>
      </c>
      <c r="G454" s="117">
        <v>-1837.5999999999995</v>
      </c>
      <c r="H454" s="114" t="s">
        <v>112</v>
      </c>
      <c r="I454" s="114" t="s">
        <v>74</v>
      </c>
      <c r="J454" s="118">
        <v>46219</v>
      </c>
      <c r="K454" s="118">
        <v>46234</v>
      </c>
      <c r="L454" s="114" t="s">
        <v>138</v>
      </c>
    </row>
    <row r="455" spans="1:12">
      <c r="A455" s="113">
        <v>825</v>
      </c>
      <c r="B455" s="113">
        <v>5443</v>
      </c>
      <c r="C455" s="119">
        <v>7798156760062</v>
      </c>
      <c r="D455" s="113" t="s">
        <v>320</v>
      </c>
      <c r="E455" s="120">
        <v>987.5</v>
      </c>
      <c r="F455" s="120">
        <v>790</v>
      </c>
      <c r="G455" s="121">
        <v>-197.5</v>
      </c>
      <c r="H455" s="113" t="s">
        <v>112</v>
      </c>
      <c r="I455" s="113" t="s">
        <v>74</v>
      </c>
      <c r="J455" s="122">
        <v>46204</v>
      </c>
      <c r="K455" s="122">
        <v>46234</v>
      </c>
      <c r="L455" s="113" t="s">
        <v>62</v>
      </c>
    </row>
    <row r="456" spans="1:12">
      <c r="A456" s="113">
        <v>13813</v>
      </c>
      <c r="B456" s="113">
        <v>927</v>
      </c>
      <c r="C456" s="119">
        <v>7793344904013</v>
      </c>
      <c r="D456" s="113" t="s">
        <v>321</v>
      </c>
      <c r="E456" s="120">
        <v>2623.75</v>
      </c>
      <c r="F456" s="120">
        <v>2099</v>
      </c>
      <c r="G456" s="121">
        <v>-524.75</v>
      </c>
      <c r="H456" s="113" t="s">
        <v>112</v>
      </c>
      <c r="I456" s="113" t="s">
        <v>74</v>
      </c>
      <c r="J456" s="122">
        <v>46204</v>
      </c>
      <c r="K456" s="122">
        <v>46234</v>
      </c>
      <c r="L456" s="113" t="s">
        <v>138</v>
      </c>
    </row>
    <row r="457" spans="1:12">
      <c r="A457" s="113">
        <v>2482</v>
      </c>
      <c r="B457" s="113">
        <v>11004</v>
      </c>
      <c r="C457" s="119">
        <v>7790802000010</v>
      </c>
      <c r="D457" s="113" t="s">
        <v>322</v>
      </c>
      <c r="E457" s="120">
        <v>2123.75</v>
      </c>
      <c r="F457" s="120">
        <v>1699</v>
      </c>
      <c r="G457" s="121">
        <v>-424.75</v>
      </c>
      <c r="H457" s="113" t="s">
        <v>112</v>
      </c>
      <c r="I457" s="113" t="s">
        <v>74</v>
      </c>
      <c r="J457" s="122">
        <v>46204</v>
      </c>
      <c r="K457" s="122">
        <v>46234</v>
      </c>
      <c r="L457" s="113" t="s">
        <v>139</v>
      </c>
    </row>
    <row r="458" spans="1:12">
      <c r="A458" s="113">
        <v>3781</v>
      </c>
      <c r="B458" s="113">
        <v>12101</v>
      </c>
      <c r="C458" s="119">
        <v>2003781000000</v>
      </c>
      <c r="D458" s="113" t="s">
        <v>323</v>
      </c>
      <c r="E458" s="120">
        <v>13300</v>
      </c>
      <c r="F458" s="120">
        <v>13300</v>
      </c>
      <c r="G458" s="121">
        <v>0</v>
      </c>
      <c r="H458" s="113"/>
      <c r="I458" s="113" t="s">
        <v>156</v>
      </c>
      <c r="J458" s="122">
        <v>46204</v>
      </c>
      <c r="K458" s="122">
        <v>46234</v>
      </c>
      <c r="L458" s="113" t="s">
        <v>324</v>
      </c>
    </row>
    <row r="459" spans="1:12">
      <c r="A459" s="113">
        <v>2422</v>
      </c>
      <c r="B459" s="113">
        <v>9</v>
      </c>
      <c r="C459" s="119">
        <v>2002422000000</v>
      </c>
      <c r="D459" s="113" t="s">
        <v>325</v>
      </c>
      <c r="E459" s="120">
        <v>12200</v>
      </c>
      <c r="F459" s="120">
        <v>12200</v>
      </c>
      <c r="G459" s="121">
        <v>0</v>
      </c>
      <c r="H459" s="113"/>
      <c r="I459" s="113" t="s">
        <v>156</v>
      </c>
      <c r="J459" s="122">
        <v>46204</v>
      </c>
      <c r="K459" s="122">
        <v>46234</v>
      </c>
      <c r="L459" s="113" t="s">
        <v>324</v>
      </c>
    </row>
    <row r="460" spans="1:12">
      <c r="A460" s="128">
        <v>13807</v>
      </c>
      <c r="B460" s="128">
        <v>907</v>
      </c>
      <c r="C460" s="129">
        <v>7793344904990</v>
      </c>
      <c r="D460" s="128" t="s">
        <v>1443</v>
      </c>
      <c r="E460" s="130">
        <v>3498.75</v>
      </c>
      <c r="F460" s="130">
        <v>2799</v>
      </c>
      <c r="G460" s="131">
        <v>-699.75</v>
      </c>
      <c r="H460" s="128" t="s">
        <v>112</v>
      </c>
      <c r="I460" s="128" t="s">
        <v>74</v>
      </c>
      <c r="J460" s="132">
        <v>46212</v>
      </c>
      <c r="K460" s="132">
        <v>46234</v>
      </c>
      <c r="L460" s="128" t="s">
        <v>1444</v>
      </c>
    </row>
    <row r="461" spans="1:12">
      <c r="A461" s="89">
        <v>3602</v>
      </c>
      <c r="B461" s="50" t="s">
        <v>731</v>
      </c>
      <c r="C461" s="89">
        <v>7798269720106</v>
      </c>
      <c r="D461" s="50" t="s">
        <v>732</v>
      </c>
      <c r="E461" s="101">
        <v>8600</v>
      </c>
      <c r="F461" s="101">
        <v>8170</v>
      </c>
      <c r="G461" s="133">
        <v>430</v>
      </c>
      <c r="H461" s="50" t="s">
        <v>17</v>
      </c>
      <c r="I461" s="50" t="s">
        <v>733</v>
      </c>
      <c r="J461" s="52">
        <v>46178</v>
      </c>
      <c r="K461" s="52">
        <v>46234</v>
      </c>
      <c r="L461" s="134" t="s">
        <v>734</v>
      </c>
    </row>
    <row r="462" spans="1:12">
      <c r="A462" s="89">
        <v>2688</v>
      </c>
      <c r="B462" s="50">
        <v>187</v>
      </c>
      <c r="C462" s="89">
        <v>7790415000810</v>
      </c>
      <c r="D462" s="50" t="s">
        <v>735</v>
      </c>
      <c r="E462" s="101">
        <v>13440</v>
      </c>
      <c r="F462" s="101">
        <v>12096</v>
      </c>
      <c r="G462" s="133">
        <v>1344</v>
      </c>
      <c r="H462" s="50" t="s">
        <v>17</v>
      </c>
      <c r="I462" s="50" t="s">
        <v>22</v>
      </c>
      <c r="J462" s="52">
        <v>46178</v>
      </c>
      <c r="K462" s="52">
        <v>46234</v>
      </c>
      <c r="L462" s="134" t="s">
        <v>734</v>
      </c>
    </row>
    <row r="463" spans="1:12">
      <c r="A463" s="89">
        <v>14082</v>
      </c>
      <c r="B463" s="50">
        <v>1205</v>
      </c>
      <c r="C463" s="89">
        <v>7790415129887</v>
      </c>
      <c r="D463" s="50" t="s">
        <v>736</v>
      </c>
      <c r="E463" s="101">
        <v>44100</v>
      </c>
      <c r="F463" s="101">
        <v>39690</v>
      </c>
      <c r="G463" s="133">
        <v>4410</v>
      </c>
      <c r="H463" s="50" t="s">
        <v>17</v>
      </c>
      <c r="I463" s="50" t="s">
        <v>22</v>
      </c>
      <c r="J463" s="52">
        <v>46178</v>
      </c>
      <c r="K463" s="52">
        <v>46234</v>
      </c>
      <c r="L463" s="134" t="s">
        <v>734</v>
      </c>
    </row>
    <row r="464" spans="1:12">
      <c r="A464" s="89">
        <v>17401</v>
      </c>
      <c r="B464" s="50">
        <v>76049</v>
      </c>
      <c r="C464" s="89">
        <v>7798090852526</v>
      </c>
      <c r="D464" s="50" t="s">
        <v>737</v>
      </c>
      <c r="E464" s="101">
        <v>5000</v>
      </c>
      <c r="F464" s="101">
        <v>4500</v>
      </c>
      <c r="G464" s="105">
        <v>500</v>
      </c>
      <c r="H464" s="50" t="s">
        <v>17</v>
      </c>
      <c r="I464" s="50" t="s">
        <v>22</v>
      </c>
      <c r="J464" s="52">
        <v>46206</v>
      </c>
      <c r="K464" s="52">
        <v>46234</v>
      </c>
      <c r="L464" s="134" t="s">
        <v>734</v>
      </c>
    </row>
    <row r="465" spans="1:12">
      <c r="A465" s="89">
        <v>17402</v>
      </c>
      <c r="B465" s="50">
        <v>76050</v>
      </c>
      <c r="C465" s="89">
        <v>7798090852533</v>
      </c>
      <c r="D465" s="50" t="s">
        <v>738</v>
      </c>
      <c r="E465" s="101">
        <v>5000</v>
      </c>
      <c r="F465" s="101">
        <v>4500</v>
      </c>
      <c r="G465" s="105">
        <v>500</v>
      </c>
      <c r="H465" s="50" t="s">
        <v>17</v>
      </c>
      <c r="I465" s="50" t="s">
        <v>22</v>
      </c>
      <c r="J465" s="52">
        <v>46206</v>
      </c>
      <c r="K465" s="52">
        <v>46234</v>
      </c>
      <c r="L465" s="134" t="s">
        <v>734</v>
      </c>
    </row>
    <row r="466" spans="1:12">
      <c r="A466" s="89">
        <v>17400</v>
      </c>
      <c r="B466" s="50">
        <v>76048</v>
      </c>
      <c r="C466" s="89">
        <v>7798090852519</v>
      </c>
      <c r="D466" s="50" t="s">
        <v>739</v>
      </c>
      <c r="E466" s="101">
        <v>5000</v>
      </c>
      <c r="F466" s="101">
        <v>4500</v>
      </c>
      <c r="G466" s="105">
        <v>500</v>
      </c>
      <c r="H466" s="50" t="s">
        <v>17</v>
      </c>
      <c r="I466" s="50" t="s">
        <v>22</v>
      </c>
      <c r="J466" s="52">
        <v>46206</v>
      </c>
      <c r="K466" s="52">
        <v>46234</v>
      </c>
      <c r="L466" s="134" t="s">
        <v>734</v>
      </c>
    </row>
    <row r="467" spans="1:12">
      <c r="A467" s="89">
        <v>659891</v>
      </c>
      <c r="B467" s="50" t="s">
        <v>740</v>
      </c>
      <c r="C467" s="89">
        <v>7794450943217</v>
      </c>
      <c r="D467" s="50" t="s">
        <v>741</v>
      </c>
      <c r="E467" s="101">
        <v>9827.9889999999996</v>
      </c>
      <c r="F467" s="101">
        <v>8845.1900999999998</v>
      </c>
      <c r="G467" s="133">
        <v>982.79889999999978</v>
      </c>
      <c r="H467" s="50" t="s">
        <v>17</v>
      </c>
      <c r="I467" s="50" t="s">
        <v>22</v>
      </c>
      <c r="J467" s="52">
        <v>46178</v>
      </c>
      <c r="K467" s="52">
        <v>46234</v>
      </c>
      <c r="L467" s="134" t="s">
        <v>734</v>
      </c>
    </row>
    <row r="468" spans="1:12">
      <c r="A468" s="89">
        <v>664053</v>
      </c>
      <c r="B468" s="50">
        <v>341</v>
      </c>
      <c r="C468" s="89">
        <v>7794450000804</v>
      </c>
      <c r="D468" s="50" t="s">
        <v>742</v>
      </c>
      <c r="E468" s="101">
        <v>9827.9889999999996</v>
      </c>
      <c r="F468" s="101">
        <v>8845.1900999999998</v>
      </c>
      <c r="G468" s="133">
        <v>982.79889999999978</v>
      </c>
      <c r="H468" s="50" t="s">
        <v>17</v>
      </c>
      <c r="I468" s="50" t="s">
        <v>22</v>
      </c>
      <c r="J468" s="52">
        <v>46178</v>
      </c>
      <c r="K468" s="52">
        <v>46234</v>
      </c>
      <c r="L468" s="134" t="s">
        <v>734</v>
      </c>
    </row>
    <row r="469" spans="1:12">
      <c r="A469" s="89">
        <v>659892</v>
      </c>
      <c r="B469" s="50" t="s">
        <v>743</v>
      </c>
      <c r="C469" s="89">
        <v>7794450940209</v>
      </c>
      <c r="D469" s="50" t="s">
        <v>744</v>
      </c>
      <c r="E469" s="101">
        <v>9827.9889999999996</v>
      </c>
      <c r="F469" s="101">
        <v>8845.1900999999998</v>
      </c>
      <c r="G469" s="133">
        <v>982.79889999999978</v>
      </c>
      <c r="H469" s="50" t="s">
        <v>17</v>
      </c>
      <c r="I469" s="50" t="s">
        <v>22</v>
      </c>
      <c r="J469" s="52">
        <v>46178</v>
      </c>
      <c r="K469" s="52">
        <v>46234</v>
      </c>
      <c r="L469" s="134" t="s">
        <v>734</v>
      </c>
    </row>
    <row r="470" spans="1:12">
      <c r="A470" s="89">
        <v>664054</v>
      </c>
      <c r="B470" s="50">
        <v>428</v>
      </c>
      <c r="C470" s="89">
        <v>7794450003607</v>
      </c>
      <c r="D470" s="50" t="s">
        <v>745</v>
      </c>
      <c r="E470" s="101">
        <v>9827.9889999999996</v>
      </c>
      <c r="F470" s="101">
        <v>8845.1900999999998</v>
      </c>
      <c r="G470" s="133">
        <v>982.79889999999978</v>
      </c>
      <c r="H470" s="50" t="s">
        <v>17</v>
      </c>
      <c r="I470" s="50" t="s">
        <v>22</v>
      </c>
      <c r="J470" s="52">
        <v>46178</v>
      </c>
      <c r="K470" s="52">
        <v>46234</v>
      </c>
      <c r="L470" s="134" t="s">
        <v>734</v>
      </c>
    </row>
    <row r="471" spans="1:12">
      <c r="A471" s="89">
        <v>664051</v>
      </c>
      <c r="B471" s="50" t="s">
        <v>746</v>
      </c>
      <c r="C471" s="89">
        <v>6640511111112</v>
      </c>
      <c r="D471" s="50" t="s">
        <v>747</v>
      </c>
      <c r="E471" s="101">
        <v>10782.01</v>
      </c>
      <c r="F471" s="101">
        <v>9703.8090000000011</v>
      </c>
      <c r="G471" s="133">
        <v>1078.2009999999991</v>
      </c>
      <c r="H471" s="50" t="s">
        <v>17</v>
      </c>
      <c r="I471" s="50" t="s">
        <v>22</v>
      </c>
      <c r="J471" s="52">
        <v>46178</v>
      </c>
      <c r="K471" s="52">
        <v>46234</v>
      </c>
      <c r="L471" s="134" t="s">
        <v>734</v>
      </c>
    </row>
    <row r="472" spans="1:12">
      <c r="A472" s="89">
        <v>13243</v>
      </c>
      <c r="B472" s="50">
        <v>74397</v>
      </c>
      <c r="C472" s="89">
        <v>7791540144547</v>
      </c>
      <c r="D472" s="50" t="s">
        <v>748</v>
      </c>
      <c r="E472" s="101">
        <v>5997.7049999999999</v>
      </c>
      <c r="F472" s="101">
        <v>5397.9345000000003</v>
      </c>
      <c r="G472" s="133">
        <v>599.77049999999963</v>
      </c>
      <c r="H472" s="50" t="s">
        <v>17</v>
      </c>
      <c r="I472" s="50" t="s">
        <v>22</v>
      </c>
      <c r="J472" s="52">
        <v>46178</v>
      </c>
      <c r="K472" s="52">
        <v>46234</v>
      </c>
      <c r="L472" s="134" t="s">
        <v>734</v>
      </c>
    </row>
    <row r="473" spans="1:12">
      <c r="A473" s="89">
        <v>20054</v>
      </c>
      <c r="B473" s="50">
        <v>74609</v>
      </c>
      <c r="C473" s="89">
        <v>7791540148507</v>
      </c>
      <c r="D473" s="50" t="s">
        <v>749</v>
      </c>
      <c r="E473" s="101">
        <v>7090.8770000000004</v>
      </c>
      <c r="F473" s="101">
        <v>6381.7893000000004</v>
      </c>
      <c r="G473" s="133">
        <v>709.08770000000004</v>
      </c>
      <c r="H473" s="50" t="s">
        <v>17</v>
      </c>
      <c r="I473" s="50" t="s">
        <v>22</v>
      </c>
      <c r="J473" s="52">
        <v>46178</v>
      </c>
      <c r="K473" s="52">
        <v>46234</v>
      </c>
      <c r="L473" s="134" t="s">
        <v>734</v>
      </c>
    </row>
    <row r="474" spans="1:12">
      <c r="A474" s="89">
        <v>661052</v>
      </c>
      <c r="B474" s="50">
        <v>74611</v>
      </c>
      <c r="C474" s="89">
        <v>7791540044090</v>
      </c>
      <c r="D474" s="50" t="s">
        <v>750</v>
      </c>
      <c r="E474" s="101">
        <v>7090.8770000000004</v>
      </c>
      <c r="F474" s="101">
        <v>6381.7893000000004</v>
      </c>
      <c r="G474" s="133">
        <v>709.08770000000004</v>
      </c>
      <c r="H474" s="50" t="s">
        <v>17</v>
      </c>
      <c r="I474" s="50" t="s">
        <v>22</v>
      </c>
      <c r="J474" s="52">
        <v>46178</v>
      </c>
      <c r="K474" s="52">
        <v>46234</v>
      </c>
      <c r="L474" s="134" t="s">
        <v>734</v>
      </c>
    </row>
    <row r="475" spans="1:12">
      <c r="A475" s="89">
        <v>665503</v>
      </c>
      <c r="B475" s="50">
        <v>2028</v>
      </c>
      <c r="C475" s="89">
        <v>7798126080343</v>
      </c>
      <c r="D475" s="50" t="s">
        <v>751</v>
      </c>
      <c r="E475" s="101">
        <v>36539.919999999998</v>
      </c>
      <c r="F475" s="101">
        <v>32885.928</v>
      </c>
      <c r="G475" s="133">
        <v>3653.9919999999984</v>
      </c>
      <c r="H475" s="50" t="s">
        <v>17</v>
      </c>
      <c r="I475" s="50" t="s">
        <v>22</v>
      </c>
      <c r="J475" s="52">
        <v>46178</v>
      </c>
      <c r="K475" s="52">
        <v>46234</v>
      </c>
      <c r="L475" s="134" t="s">
        <v>734</v>
      </c>
    </row>
    <row r="476" spans="1:12">
      <c r="A476" s="89">
        <v>660395</v>
      </c>
      <c r="B476" s="50">
        <v>0</v>
      </c>
      <c r="C476" s="89">
        <v>7794450004499</v>
      </c>
      <c r="D476" s="50" t="s">
        <v>752</v>
      </c>
      <c r="E476" s="101">
        <v>16143.23</v>
      </c>
      <c r="F476" s="101">
        <v>14528.906999999999</v>
      </c>
      <c r="G476" s="133">
        <v>1614.3230000000003</v>
      </c>
      <c r="H476" s="50" t="s">
        <v>17</v>
      </c>
      <c r="I476" s="50" t="s">
        <v>22</v>
      </c>
      <c r="J476" s="52">
        <v>46178</v>
      </c>
      <c r="K476" s="52">
        <v>46234</v>
      </c>
      <c r="L476" s="134" t="s">
        <v>734</v>
      </c>
    </row>
    <row r="477" spans="1:12">
      <c r="A477" s="89">
        <v>660398</v>
      </c>
      <c r="B477" s="50">
        <v>0</v>
      </c>
      <c r="C477" s="89">
        <v>7794450004536</v>
      </c>
      <c r="D477" s="50" t="s">
        <v>753</v>
      </c>
      <c r="E477" s="101">
        <v>16143.23</v>
      </c>
      <c r="F477" s="101">
        <v>14528.906999999999</v>
      </c>
      <c r="G477" s="133">
        <v>1614.3230000000003</v>
      </c>
      <c r="H477" s="50" t="s">
        <v>17</v>
      </c>
      <c r="I477" s="50" t="s">
        <v>22</v>
      </c>
      <c r="J477" s="52">
        <v>46178</v>
      </c>
      <c r="K477" s="52">
        <v>46234</v>
      </c>
      <c r="L477" s="134" t="s">
        <v>734</v>
      </c>
    </row>
    <row r="478" spans="1:12">
      <c r="A478" s="89">
        <v>660396</v>
      </c>
      <c r="B478" s="50">
        <v>0</v>
      </c>
      <c r="C478" s="89">
        <v>7794450004482</v>
      </c>
      <c r="D478" s="50" t="s">
        <v>754</v>
      </c>
      <c r="E478" s="101">
        <v>16143.23</v>
      </c>
      <c r="F478" s="101">
        <v>14528.906999999999</v>
      </c>
      <c r="G478" s="133">
        <v>1614.3230000000003</v>
      </c>
      <c r="H478" s="50" t="s">
        <v>17</v>
      </c>
      <c r="I478" s="50" t="s">
        <v>22</v>
      </c>
      <c r="J478" s="52">
        <v>46178</v>
      </c>
      <c r="K478" s="52">
        <v>46234</v>
      </c>
      <c r="L478" s="134" t="s">
        <v>734</v>
      </c>
    </row>
    <row r="479" spans="1:12">
      <c r="A479" s="89">
        <v>663382</v>
      </c>
      <c r="B479" s="50" t="s">
        <v>755</v>
      </c>
      <c r="C479" s="89">
        <v>7798113556776</v>
      </c>
      <c r="D479" s="50" t="s">
        <v>756</v>
      </c>
      <c r="E479" s="101">
        <v>8924.9989999999998</v>
      </c>
      <c r="F479" s="101">
        <v>8032.4991</v>
      </c>
      <c r="G479" s="133">
        <v>892.4998999999998</v>
      </c>
      <c r="H479" s="50" t="s">
        <v>17</v>
      </c>
      <c r="I479" s="50" t="s">
        <v>22</v>
      </c>
      <c r="J479" s="52">
        <v>46178</v>
      </c>
      <c r="K479" s="52">
        <v>46234</v>
      </c>
      <c r="L479" s="134" t="s">
        <v>734</v>
      </c>
    </row>
    <row r="480" spans="1:12">
      <c r="A480" s="89">
        <v>660495</v>
      </c>
      <c r="B480" s="50" t="s">
        <v>757</v>
      </c>
      <c r="C480" s="89">
        <v>7798113555724</v>
      </c>
      <c r="D480" s="50" t="s">
        <v>758</v>
      </c>
      <c r="E480" s="101">
        <v>7950</v>
      </c>
      <c r="F480" s="101">
        <v>7155</v>
      </c>
      <c r="G480" s="133">
        <v>795</v>
      </c>
      <c r="H480" s="50" t="s">
        <v>17</v>
      </c>
      <c r="I480" s="50" t="s">
        <v>22</v>
      </c>
      <c r="J480" s="52">
        <v>46178</v>
      </c>
      <c r="K480" s="52">
        <v>46234</v>
      </c>
      <c r="L480" s="134" t="s">
        <v>734</v>
      </c>
    </row>
    <row r="481" spans="1:12">
      <c r="A481" s="89">
        <v>10843</v>
      </c>
      <c r="B481" s="50">
        <v>76055</v>
      </c>
      <c r="C481" s="89">
        <v>7793440702926</v>
      </c>
      <c r="D481" s="50" t="s">
        <v>759</v>
      </c>
      <c r="E481" s="101">
        <v>5000</v>
      </c>
      <c r="F481" s="101">
        <v>4500</v>
      </c>
      <c r="G481" s="105">
        <v>500</v>
      </c>
      <c r="H481" s="50" t="s">
        <v>17</v>
      </c>
      <c r="I481" s="50" t="s">
        <v>22</v>
      </c>
      <c r="J481" s="52">
        <v>46206</v>
      </c>
      <c r="K481" s="52">
        <v>46234</v>
      </c>
      <c r="L481" s="134" t="s">
        <v>734</v>
      </c>
    </row>
    <row r="482" spans="1:12">
      <c r="A482" s="89">
        <v>659867</v>
      </c>
      <c r="B482" s="50">
        <v>44368</v>
      </c>
      <c r="C482" s="89">
        <v>7790189143508</v>
      </c>
      <c r="D482" s="50" t="s">
        <v>760</v>
      </c>
      <c r="E482" s="101">
        <v>13824.55</v>
      </c>
      <c r="F482" s="101">
        <v>12442.094999999999</v>
      </c>
      <c r="G482" s="133">
        <v>1382.4549999999999</v>
      </c>
      <c r="H482" s="50" t="s">
        <v>17</v>
      </c>
      <c r="I482" s="50" t="s">
        <v>22</v>
      </c>
      <c r="J482" s="52">
        <v>46178</v>
      </c>
      <c r="K482" s="52">
        <v>46234</v>
      </c>
      <c r="L482" s="134" t="s">
        <v>734</v>
      </c>
    </row>
    <row r="483" spans="1:12">
      <c r="A483" s="89">
        <v>100999</v>
      </c>
      <c r="B483" s="50">
        <v>1956</v>
      </c>
      <c r="C483" s="89">
        <v>7794450004260</v>
      </c>
      <c r="D483" s="50" t="s">
        <v>761</v>
      </c>
      <c r="E483" s="101">
        <v>6524.9979999999996</v>
      </c>
      <c r="F483" s="101">
        <v>5872.4982</v>
      </c>
      <c r="G483" s="133">
        <v>652.4997999999996</v>
      </c>
      <c r="H483" s="50" t="s">
        <v>17</v>
      </c>
      <c r="I483" s="50" t="s">
        <v>22</v>
      </c>
      <c r="J483" s="52">
        <v>46178</v>
      </c>
      <c r="K483" s="52">
        <v>46234</v>
      </c>
      <c r="L483" s="134" t="s">
        <v>734</v>
      </c>
    </row>
    <row r="484" spans="1:12">
      <c r="A484" s="89">
        <v>17463</v>
      </c>
      <c r="B484" s="50">
        <v>1955</v>
      </c>
      <c r="C484" s="89">
        <v>7794450004246</v>
      </c>
      <c r="D484" s="50" t="s">
        <v>762</v>
      </c>
      <c r="E484" s="101">
        <v>6524.9979999999996</v>
      </c>
      <c r="F484" s="101">
        <v>5872.4982</v>
      </c>
      <c r="G484" s="133">
        <v>652.4997999999996</v>
      </c>
      <c r="H484" s="50" t="s">
        <v>17</v>
      </c>
      <c r="I484" s="50" t="s">
        <v>22</v>
      </c>
      <c r="J484" s="52">
        <v>46178</v>
      </c>
      <c r="K484" s="52">
        <v>46234</v>
      </c>
      <c r="L484" s="134" t="s">
        <v>734</v>
      </c>
    </row>
    <row r="485" spans="1:12">
      <c r="A485" s="89">
        <v>665945</v>
      </c>
      <c r="B485" s="50">
        <v>945</v>
      </c>
      <c r="C485" s="89">
        <v>7798152262799</v>
      </c>
      <c r="D485" s="50" t="s">
        <v>763</v>
      </c>
      <c r="E485" s="101">
        <v>15895.77</v>
      </c>
      <c r="F485" s="101">
        <v>14306.193000000001</v>
      </c>
      <c r="G485" s="133">
        <v>1589.5769999999993</v>
      </c>
      <c r="H485" s="50" t="s">
        <v>17</v>
      </c>
      <c r="I485" s="50" t="s">
        <v>22</v>
      </c>
      <c r="J485" s="52">
        <v>46178</v>
      </c>
      <c r="K485" s="52">
        <v>46234</v>
      </c>
      <c r="L485" s="134" t="s">
        <v>734</v>
      </c>
    </row>
    <row r="486" spans="1:12">
      <c r="A486" s="89">
        <v>662525</v>
      </c>
      <c r="B486" s="50">
        <v>525</v>
      </c>
      <c r="C486" s="89">
        <v>814181012055</v>
      </c>
      <c r="D486" s="50" t="s">
        <v>764</v>
      </c>
      <c r="E486" s="101">
        <v>15895.77</v>
      </c>
      <c r="F486" s="101">
        <v>14306.193000000001</v>
      </c>
      <c r="G486" s="133">
        <v>1589.5769999999993</v>
      </c>
      <c r="H486" s="50" t="s">
        <v>17</v>
      </c>
      <c r="I486" s="50" t="s">
        <v>22</v>
      </c>
      <c r="J486" s="52">
        <v>46178</v>
      </c>
      <c r="K486" s="52">
        <v>46234</v>
      </c>
      <c r="L486" s="134" t="s">
        <v>734</v>
      </c>
    </row>
    <row r="487" spans="1:12">
      <c r="A487" s="89">
        <v>662526</v>
      </c>
      <c r="B487" s="50">
        <v>526</v>
      </c>
      <c r="C487" s="89">
        <v>7798152261341</v>
      </c>
      <c r="D487" s="50" t="s">
        <v>765</v>
      </c>
      <c r="E487" s="101">
        <v>22317.24</v>
      </c>
      <c r="F487" s="101">
        <v>20085.516000000003</v>
      </c>
      <c r="G487" s="133">
        <v>2231.7239999999983</v>
      </c>
      <c r="H487" s="50" t="s">
        <v>17</v>
      </c>
      <c r="I487" s="50" t="s">
        <v>22</v>
      </c>
      <c r="J487" s="52">
        <v>46178</v>
      </c>
      <c r="K487" s="52">
        <v>46234</v>
      </c>
      <c r="L487" s="134" t="s">
        <v>734</v>
      </c>
    </row>
    <row r="488" spans="1:12">
      <c r="A488" s="89">
        <v>659050</v>
      </c>
      <c r="B488" s="50">
        <v>2303</v>
      </c>
      <c r="C488" s="89">
        <v>7798039599413</v>
      </c>
      <c r="D488" s="50" t="s">
        <v>766</v>
      </c>
      <c r="E488" s="101">
        <v>6110.9930000000004</v>
      </c>
      <c r="F488" s="101">
        <v>5499.8937000000005</v>
      </c>
      <c r="G488" s="133">
        <v>611.09929999999986</v>
      </c>
      <c r="H488" s="50" t="s">
        <v>17</v>
      </c>
      <c r="I488" s="50" t="s">
        <v>22</v>
      </c>
      <c r="J488" s="52">
        <v>46178</v>
      </c>
      <c r="K488" s="52">
        <v>46234</v>
      </c>
      <c r="L488" s="134" t="s">
        <v>734</v>
      </c>
    </row>
    <row r="489" spans="1:12">
      <c r="A489" s="89">
        <v>666517</v>
      </c>
      <c r="B489" s="50">
        <v>2311</v>
      </c>
      <c r="C489" s="89">
        <v>7798422330357</v>
      </c>
      <c r="D489" s="50" t="s">
        <v>767</v>
      </c>
      <c r="E489" s="101">
        <v>12967.5</v>
      </c>
      <c r="F489" s="101">
        <v>11670.75</v>
      </c>
      <c r="G489" s="133">
        <v>1296.75</v>
      </c>
      <c r="H489" s="50" t="s">
        <v>17</v>
      </c>
      <c r="I489" s="50" t="s">
        <v>22</v>
      </c>
      <c r="J489" s="52">
        <v>46178</v>
      </c>
      <c r="K489" s="52">
        <v>46234</v>
      </c>
      <c r="L489" s="134" t="s">
        <v>734</v>
      </c>
    </row>
    <row r="490" spans="1:12">
      <c r="A490" s="89">
        <v>663613</v>
      </c>
      <c r="B490" s="50">
        <v>2309</v>
      </c>
      <c r="C490" s="89">
        <v>7798039599710</v>
      </c>
      <c r="D490" s="50" t="s">
        <v>768</v>
      </c>
      <c r="E490" s="101">
        <v>6110.9930000000004</v>
      </c>
      <c r="F490" s="101">
        <v>5499.8937000000005</v>
      </c>
      <c r="G490" s="133">
        <v>611.09929999999986</v>
      </c>
      <c r="H490" s="50" t="s">
        <v>17</v>
      </c>
      <c r="I490" s="50" t="s">
        <v>22</v>
      </c>
      <c r="J490" s="52">
        <v>46178</v>
      </c>
      <c r="K490" s="52">
        <v>46234</v>
      </c>
      <c r="L490" s="134" t="s">
        <v>734</v>
      </c>
    </row>
    <row r="491" spans="1:12">
      <c r="A491" s="89">
        <v>665915</v>
      </c>
      <c r="B491" s="50">
        <v>0</v>
      </c>
      <c r="C491" s="89">
        <v>7798111990930</v>
      </c>
      <c r="D491" s="50" t="s">
        <v>769</v>
      </c>
      <c r="E491" s="101">
        <v>13333.4</v>
      </c>
      <c r="F491" s="101">
        <v>12000.06</v>
      </c>
      <c r="G491" s="133">
        <v>1333.3400000000001</v>
      </c>
      <c r="H491" s="50" t="s">
        <v>17</v>
      </c>
      <c r="I491" s="50" t="s">
        <v>22</v>
      </c>
      <c r="J491" s="52">
        <v>46178</v>
      </c>
      <c r="K491" s="52">
        <v>46234</v>
      </c>
      <c r="L491" s="134" t="s">
        <v>734</v>
      </c>
    </row>
    <row r="492" spans="1:12">
      <c r="A492" s="89">
        <v>12595</v>
      </c>
      <c r="B492" s="50" t="s">
        <v>770</v>
      </c>
      <c r="C492" s="89">
        <v>7798111990701</v>
      </c>
      <c r="D492" s="50" t="s">
        <v>771</v>
      </c>
      <c r="E492" s="101">
        <v>10555.9</v>
      </c>
      <c r="F492" s="101">
        <v>9500.31</v>
      </c>
      <c r="G492" s="133">
        <v>1055.5900000000001</v>
      </c>
      <c r="H492" s="50" t="s">
        <v>17</v>
      </c>
      <c r="I492" s="50" t="s">
        <v>22</v>
      </c>
      <c r="J492" s="52">
        <v>46178</v>
      </c>
      <c r="K492" s="52">
        <v>46234</v>
      </c>
      <c r="L492" s="134" t="s">
        <v>734</v>
      </c>
    </row>
    <row r="493" spans="1:12">
      <c r="A493" s="89">
        <v>14070</v>
      </c>
      <c r="B493" s="50" t="s">
        <v>772</v>
      </c>
      <c r="C493" s="89">
        <v>7798111990282</v>
      </c>
      <c r="D493" s="50" t="s">
        <v>773</v>
      </c>
      <c r="E493" s="101">
        <v>10555.9</v>
      </c>
      <c r="F493" s="101">
        <v>9500.31</v>
      </c>
      <c r="G493" s="133">
        <v>1055.5900000000001</v>
      </c>
      <c r="H493" s="50" t="s">
        <v>17</v>
      </c>
      <c r="I493" s="50" t="s">
        <v>22</v>
      </c>
      <c r="J493" s="52">
        <v>46178</v>
      </c>
      <c r="K493" s="52">
        <v>46234</v>
      </c>
      <c r="L493" s="134" t="s">
        <v>734</v>
      </c>
    </row>
    <row r="494" spans="1:12">
      <c r="A494" s="89">
        <v>660076</v>
      </c>
      <c r="B494" s="50" t="s">
        <v>774</v>
      </c>
      <c r="C494" s="89">
        <v>7798111990909</v>
      </c>
      <c r="D494" s="50" t="s">
        <v>775</v>
      </c>
      <c r="E494" s="101">
        <v>10555.9</v>
      </c>
      <c r="F494" s="101">
        <v>9500.31</v>
      </c>
      <c r="G494" s="133">
        <v>1055.5900000000001</v>
      </c>
      <c r="H494" s="50" t="s">
        <v>17</v>
      </c>
      <c r="I494" s="50" t="s">
        <v>22</v>
      </c>
      <c r="J494" s="52">
        <v>46178</v>
      </c>
      <c r="K494" s="52">
        <v>46234</v>
      </c>
      <c r="L494" s="134" t="s">
        <v>734</v>
      </c>
    </row>
    <row r="495" spans="1:12">
      <c r="A495" s="89">
        <v>660077</v>
      </c>
      <c r="B495" s="50" t="s">
        <v>776</v>
      </c>
      <c r="C495" s="89">
        <v>7798111990688</v>
      </c>
      <c r="D495" s="50" t="s">
        <v>777</v>
      </c>
      <c r="E495" s="101">
        <v>10555.9</v>
      </c>
      <c r="F495" s="101">
        <v>9500.31</v>
      </c>
      <c r="G495" s="133">
        <v>1055.5900000000001</v>
      </c>
      <c r="H495" s="50" t="s">
        <v>17</v>
      </c>
      <c r="I495" s="50" t="s">
        <v>22</v>
      </c>
      <c r="J495" s="52">
        <v>46178</v>
      </c>
      <c r="K495" s="52">
        <v>46234</v>
      </c>
      <c r="L495" s="134" t="s">
        <v>734</v>
      </c>
    </row>
    <row r="496" spans="1:12">
      <c r="A496" s="89">
        <v>7735</v>
      </c>
      <c r="B496" s="50">
        <v>20501</v>
      </c>
      <c r="C496" s="89">
        <v>7790577000567</v>
      </c>
      <c r="D496" s="50" t="s">
        <v>778</v>
      </c>
      <c r="E496" s="101">
        <v>8612.9920000000002</v>
      </c>
      <c r="F496" s="101">
        <v>7751.6928000000007</v>
      </c>
      <c r="G496" s="133">
        <v>861.29919999999947</v>
      </c>
      <c r="H496" s="50" t="s">
        <v>17</v>
      </c>
      <c r="I496" s="50" t="s">
        <v>22</v>
      </c>
      <c r="J496" s="52">
        <v>46178</v>
      </c>
      <c r="K496" s="52">
        <v>46234</v>
      </c>
      <c r="L496" s="134" t="s">
        <v>734</v>
      </c>
    </row>
    <row r="497" spans="1:12">
      <c r="A497" s="89">
        <v>662437</v>
      </c>
      <c r="B497" s="50">
        <v>0</v>
      </c>
      <c r="C497" s="89">
        <v>7798104410414</v>
      </c>
      <c r="D497" s="50" t="s">
        <v>779</v>
      </c>
      <c r="E497" s="101">
        <v>19204.73</v>
      </c>
      <c r="F497" s="101">
        <v>17284.257000000001</v>
      </c>
      <c r="G497" s="133">
        <v>1920.4729999999981</v>
      </c>
      <c r="H497" s="50" t="s">
        <v>17</v>
      </c>
      <c r="I497" s="50" t="s">
        <v>22</v>
      </c>
      <c r="J497" s="52">
        <v>46178</v>
      </c>
      <c r="K497" s="52">
        <v>46234</v>
      </c>
      <c r="L497" s="134" t="s">
        <v>734</v>
      </c>
    </row>
    <row r="498" spans="1:12">
      <c r="A498" s="89">
        <v>665419</v>
      </c>
      <c r="B498" s="50">
        <v>419</v>
      </c>
      <c r="C498" s="89">
        <v>7798152262317</v>
      </c>
      <c r="D498" s="50" t="s">
        <v>780</v>
      </c>
      <c r="E498" s="101">
        <v>29370.33</v>
      </c>
      <c r="F498" s="101">
        <v>26433.297000000002</v>
      </c>
      <c r="G498" s="133">
        <v>2937.0329999999994</v>
      </c>
      <c r="H498" s="50" t="s">
        <v>17</v>
      </c>
      <c r="I498" s="50" t="s">
        <v>22</v>
      </c>
      <c r="J498" s="52">
        <v>46178</v>
      </c>
      <c r="K498" s="52">
        <v>46234</v>
      </c>
      <c r="L498" s="134" t="s">
        <v>734</v>
      </c>
    </row>
    <row r="499" spans="1:12">
      <c r="A499" s="89">
        <v>18433</v>
      </c>
      <c r="B499" s="50">
        <v>76096</v>
      </c>
      <c r="C499" s="89">
        <v>7793440002880</v>
      </c>
      <c r="D499" s="50" t="s">
        <v>781</v>
      </c>
      <c r="E499" s="101">
        <v>26249.119999999999</v>
      </c>
      <c r="F499" s="101">
        <v>23624.207999999999</v>
      </c>
      <c r="G499" s="105">
        <v>2624.9120000000003</v>
      </c>
      <c r="H499" s="50" t="s">
        <v>17</v>
      </c>
      <c r="I499" s="50" t="s">
        <v>22</v>
      </c>
      <c r="J499" s="52">
        <v>46206</v>
      </c>
      <c r="K499" s="52">
        <v>46234</v>
      </c>
      <c r="L499" s="134" t="s">
        <v>734</v>
      </c>
    </row>
    <row r="500" spans="1:12">
      <c r="A500" s="89">
        <v>13326</v>
      </c>
      <c r="B500" s="50">
        <v>76093</v>
      </c>
      <c r="C500" s="89">
        <v>7793440702698</v>
      </c>
      <c r="D500" s="50" t="s">
        <v>782</v>
      </c>
      <c r="E500" s="101">
        <v>18191.47</v>
      </c>
      <c r="F500" s="101">
        <v>16372.323000000002</v>
      </c>
      <c r="G500" s="105">
        <v>1819.146999999999</v>
      </c>
      <c r="H500" s="50" t="s">
        <v>17</v>
      </c>
      <c r="I500" s="50" t="s">
        <v>22</v>
      </c>
      <c r="J500" s="52">
        <v>46206</v>
      </c>
      <c r="K500" s="52">
        <v>46234</v>
      </c>
      <c r="L500" s="134" t="s">
        <v>734</v>
      </c>
    </row>
    <row r="501" spans="1:12">
      <c r="A501" s="89">
        <v>14663</v>
      </c>
      <c r="B501" s="50">
        <v>74393</v>
      </c>
      <c r="C501" s="89">
        <v>7791540144509</v>
      </c>
      <c r="D501" s="50" t="s">
        <v>783</v>
      </c>
      <c r="E501" s="101">
        <v>5710.25</v>
      </c>
      <c r="F501" s="101">
        <v>5139.2250000000004</v>
      </c>
      <c r="G501" s="133">
        <v>571.02499999999964</v>
      </c>
      <c r="H501" s="50" t="s">
        <v>17</v>
      </c>
      <c r="I501" s="50" t="s">
        <v>22</v>
      </c>
      <c r="J501" s="52">
        <v>46178</v>
      </c>
      <c r="K501" s="52">
        <v>46234</v>
      </c>
      <c r="L501" s="134" t="s">
        <v>734</v>
      </c>
    </row>
    <row r="502" spans="1:12">
      <c r="A502" s="89">
        <v>15161</v>
      </c>
      <c r="B502" s="50">
        <v>74395</v>
      </c>
      <c r="C502" s="89">
        <v>7791540144516</v>
      </c>
      <c r="D502" s="50" t="s">
        <v>784</v>
      </c>
      <c r="E502" s="101">
        <v>5710.25</v>
      </c>
      <c r="F502" s="101">
        <v>5139.2250000000004</v>
      </c>
      <c r="G502" s="133">
        <v>571.02499999999964</v>
      </c>
      <c r="H502" s="50" t="s">
        <v>17</v>
      </c>
      <c r="I502" s="50" t="s">
        <v>22</v>
      </c>
      <c r="J502" s="52">
        <v>46178</v>
      </c>
      <c r="K502" s="52">
        <v>46234</v>
      </c>
      <c r="L502" s="134" t="s">
        <v>734</v>
      </c>
    </row>
    <row r="503" spans="1:12">
      <c r="A503" s="89">
        <v>13604</v>
      </c>
      <c r="B503" s="50">
        <v>74394</v>
      </c>
      <c r="C503" s="89">
        <v>7791540144523</v>
      </c>
      <c r="D503" s="50" t="s">
        <v>785</v>
      </c>
      <c r="E503" s="101">
        <v>5710.25</v>
      </c>
      <c r="F503" s="101">
        <v>5139.2250000000004</v>
      </c>
      <c r="G503" s="133">
        <v>571.02499999999964</v>
      </c>
      <c r="H503" s="50" t="s">
        <v>17</v>
      </c>
      <c r="I503" s="50" t="s">
        <v>22</v>
      </c>
      <c r="J503" s="52">
        <v>46178</v>
      </c>
      <c r="K503" s="52">
        <v>46234</v>
      </c>
      <c r="L503" s="134" t="s">
        <v>734</v>
      </c>
    </row>
    <row r="504" spans="1:12">
      <c r="A504" s="89">
        <v>665658</v>
      </c>
      <c r="B504" s="50">
        <v>13908</v>
      </c>
      <c r="C504" s="89">
        <v>7790577043311</v>
      </c>
      <c r="D504" s="50" t="s">
        <v>786</v>
      </c>
      <c r="E504" s="101">
        <v>23127.5</v>
      </c>
      <c r="F504" s="101">
        <v>20814.75</v>
      </c>
      <c r="G504" s="133">
        <v>2312.75</v>
      </c>
      <c r="H504" s="50" t="s">
        <v>17</v>
      </c>
      <c r="I504" s="50" t="s">
        <v>22</v>
      </c>
      <c r="J504" s="52">
        <v>46178</v>
      </c>
      <c r="K504" s="52">
        <v>46234</v>
      </c>
      <c r="L504" s="134" t="s">
        <v>734</v>
      </c>
    </row>
    <row r="505" spans="1:12">
      <c r="A505" s="89">
        <v>665586</v>
      </c>
      <c r="B505" s="50">
        <v>43834</v>
      </c>
      <c r="C505" s="89">
        <v>7790577043496</v>
      </c>
      <c r="D505" s="50" t="s">
        <v>787</v>
      </c>
      <c r="E505" s="101">
        <v>59851.51</v>
      </c>
      <c r="F505" s="101">
        <v>53866.359000000004</v>
      </c>
      <c r="G505" s="133">
        <v>5985.150999999998</v>
      </c>
      <c r="H505" s="50" t="s">
        <v>17</v>
      </c>
      <c r="I505" s="50" t="s">
        <v>22</v>
      </c>
      <c r="J505" s="52">
        <v>46178</v>
      </c>
      <c r="K505" s="52">
        <v>46234</v>
      </c>
      <c r="L505" s="134" t="s">
        <v>734</v>
      </c>
    </row>
    <row r="506" spans="1:12">
      <c r="A506" s="89">
        <v>8799</v>
      </c>
      <c r="B506" s="50">
        <v>42373</v>
      </c>
      <c r="C506" s="89">
        <v>7790189000375</v>
      </c>
      <c r="D506" s="50" t="s">
        <v>788</v>
      </c>
      <c r="E506" s="101">
        <v>7872.2420000000002</v>
      </c>
      <c r="F506" s="101">
        <v>7085.0178000000005</v>
      </c>
      <c r="G506" s="133">
        <v>787.22419999999966</v>
      </c>
      <c r="H506" s="50" t="s">
        <v>17</v>
      </c>
      <c r="I506" s="50" t="s">
        <v>22</v>
      </c>
      <c r="J506" s="52">
        <v>46178</v>
      </c>
      <c r="K506" s="52">
        <v>46234</v>
      </c>
      <c r="L506" s="134" t="s">
        <v>734</v>
      </c>
    </row>
    <row r="507" spans="1:12">
      <c r="A507" s="89">
        <v>13677</v>
      </c>
      <c r="B507" s="50">
        <v>42374</v>
      </c>
      <c r="C507" s="89">
        <v>7790189000191</v>
      </c>
      <c r="D507" s="50" t="s">
        <v>789</v>
      </c>
      <c r="E507" s="101">
        <v>7872.2420000000002</v>
      </c>
      <c r="F507" s="101">
        <v>7085.0178000000005</v>
      </c>
      <c r="G507" s="133">
        <v>787.22419999999966</v>
      </c>
      <c r="H507" s="50" t="s">
        <v>17</v>
      </c>
      <c r="I507" s="50" t="s">
        <v>22</v>
      </c>
      <c r="J507" s="52">
        <v>46178</v>
      </c>
      <c r="K507" s="52">
        <v>46234</v>
      </c>
      <c r="L507" s="134" t="s">
        <v>734</v>
      </c>
    </row>
    <row r="508" spans="1:12">
      <c r="A508" s="89">
        <v>665944</v>
      </c>
      <c r="B508" s="50">
        <v>944</v>
      </c>
      <c r="C508" s="89">
        <v>7798152262089</v>
      </c>
      <c r="D508" s="50" t="s">
        <v>790</v>
      </c>
      <c r="E508" s="101">
        <v>12281.5</v>
      </c>
      <c r="F508" s="101">
        <v>11053.35</v>
      </c>
      <c r="G508" s="133">
        <v>1228.1499999999996</v>
      </c>
      <c r="H508" s="50" t="s">
        <v>17</v>
      </c>
      <c r="I508" s="50" t="s">
        <v>22</v>
      </c>
      <c r="J508" s="52">
        <v>46178</v>
      </c>
      <c r="K508" s="52">
        <v>46234</v>
      </c>
      <c r="L508" s="134" t="s">
        <v>734</v>
      </c>
    </row>
    <row r="509" spans="1:12">
      <c r="A509" s="89">
        <v>662312</v>
      </c>
      <c r="B509" s="50">
        <v>312</v>
      </c>
      <c r="C509" s="89">
        <v>7798152260948</v>
      </c>
      <c r="D509" s="50" t="s">
        <v>791</v>
      </c>
      <c r="E509" s="101">
        <v>12281.5</v>
      </c>
      <c r="F509" s="101">
        <v>11053.35</v>
      </c>
      <c r="G509" s="133">
        <v>1228.1499999999996</v>
      </c>
      <c r="H509" s="50" t="s">
        <v>17</v>
      </c>
      <c r="I509" s="50" t="s">
        <v>22</v>
      </c>
      <c r="J509" s="52">
        <v>46178</v>
      </c>
      <c r="K509" s="52">
        <v>46234</v>
      </c>
      <c r="L509" s="134" t="s">
        <v>734</v>
      </c>
    </row>
    <row r="510" spans="1:12">
      <c r="A510" s="89">
        <v>662313</v>
      </c>
      <c r="B510" s="50">
        <v>313</v>
      </c>
      <c r="C510" s="89">
        <v>7798152260351</v>
      </c>
      <c r="D510" s="50" t="s">
        <v>792</v>
      </c>
      <c r="E510" s="101">
        <v>12281.5</v>
      </c>
      <c r="F510" s="101">
        <v>11053.35</v>
      </c>
      <c r="G510" s="133">
        <v>1228.1499999999996</v>
      </c>
      <c r="H510" s="50" t="s">
        <v>17</v>
      </c>
      <c r="I510" s="50" t="s">
        <v>22</v>
      </c>
      <c r="J510" s="52">
        <v>46178</v>
      </c>
      <c r="K510" s="52">
        <v>46234</v>
      </c>
      <c r="L510" s="134" t="s">
        <v>734</v>
      </c>
    </row>
    <row r="511" spans="1:12">
      <c r="A511" s="89">
        <v>662528</v>
      </c>
      <c r="B511" s="50">
        <v>528</v>
      </c>
      <c r="C511" s="89">
        <v>7798152262362</v>
      </c>
      <c r="D511" s="50" t="s">
        <v>793</v>
      </c>
      <c r="E511" s="101">
        <v>15495.74</v>
      </c>
      <c r="F511" s="101">
        <v>13946.165999999999</v>
      </c>
      <c r="G511" s="133">
        <v>1549.5740000000005</v>
      </c>
      <c r="H511" s="50" t="s">
        <v>17</v>
      </c>
      <c r="I511" s="50" t="s">
        <v>22</v>
      </c>
      <c r="J511" s="52">
        <v>46178</v>
      </c>
      <c r="K511" s="52">
        <v>46234</v>
      </c>
      <c r="L511" s="134" t="s">
        <v>734</v>
      </c>
    </row>
    <row r="512" spans="1:12">
      <c r="A512" s="89">
        <v>666700</v>
      </c>
      <c r="B512" s="50">
        <v>0</v>
      </c>
      <c r="C512" s="89">
        <v>7798152261280</v>
      </c>
      <c r="D512" s="50" t="s">
        <v>794</v>
      </c>
      <c r="E512" s="101">
        <v>86709.99</v>
      </c>
      <c r="F512" s="101">
        <v>78038.991000000009</v>
      </c>
      <c r="G512" s="133">
        <v>8670.9989999999962</v>
      </c>
      <c r="H512" s="50" t="s">
        <v>17</v>
      </c>
      <c r="I512" s="50" t="s">
        <v>22</v>
      </c>
      <c r="J512" s="52">
        <v>46178</v>
      </c>
      <c r="K512" s="52">
        <v>46234</v>
      </c>
      <c r="L512" s="134" t="s">
        <v>734</v>
      </c>
    </row>
    <row r="513" spans="1:12">
      <c r="A513" s="89">
        <v>665579</v>
      </c>
      <c r="B513" s="50">
        <v>579</v>
      </c>
      <c r="C513" s="89">
        <v>7798152260863</v>
      </c>
      <c r="D513" s="50" t="s">
        <v>795</v>
      </c>
      <c r="E513" s="101">
        <v>20536.14</v>
      </c>
      <c r="F513" s="101">
        <v>18482.526000000002</v>
      </c>
      <c r="G513" s="133">
        <v>2053.6139999999978</v>
      </c>
      <c r="H513" s="50" t="s">
        <v>17</v>
      </c>
      <c r="I513" s="50" t="s">
        <v>22</v>
      </c>
      <c r="J513" s="52">
        <v>46178</v>
      </c>
      <c r="K513" s="52">
        <v>46234</v>
      </c>
      <c r="L513" s="134" t="s">
        <v>734</v>
      </c>
    </row>
    <row r="514" spans="1:12">
      <c r="A514" s="89">
        <v>662316</v>
      </c>
      <c r="B514" s="50">
        <v>316</v>
      </c>
      <c r="C514" s="89">
        <v>7798152260856</v>
      </c>
      <c r="D514" s="50" t="s">
        <v>796</v>
      </c>
      <c r="E514" s="101">
        <v>20527.650000000001</v>
      </c>
      <c r="F514" s="101">
        <v>18474.885000000002</v>
      </c>
      <c r="G514" s="133">
        <v>2052.7649999999994</v>
      </c>
      <c r="H514" s="50" t="s">
        <v>17</v>
      </c>
      <c r="I514" s="50" t="s">
        <v>22</v>
      </c>
      <c r="J514" s="52">
        <v>46178</v>
      </c>
      <c r="K514" s="52">
        <v>46234</v>
      </c>
      <c r="L514" s="134" t="s">
        <v>734</v>
      </c>
    </row>
    <row r="515" spans="1:12">
      <c r="A515" s="89">
        <v>662317</v>
      </c>
      <c r="B515" s="50">
        <v>317</v>
      </c>
      <c r="C515" s="89">
        <v>7798152260832</v>
      </c>
      <c r="D515" s="50" t="s">
        <v>797</v>
      </c>
      <c r="E515" s="101">
        <v>20527.650000000001</v>
      </c>
      <c r="F515" s="101">
        <v>18474.885000000002</v>
      </c>
      <c r="G515" s="133">
        <v>2052.7649999999994</v>
      </c>
      <c r="H515" s="50" t="s">
        <v>17</v>
      </c>
      <c r="I515" s="50" t="s">
        <v>22</v>
      </c>
      <c r="J515" s="52">
        <v>46178</v>
      </c>
      <c r="K515" s="52">
        <v>46234</v>
      </c>
      <c r="L515" s="134" t="s">
        <v>734</v>
      </c>
    </row>
    <row r="516" spans="1:12">
      <c r="A516" s="89">
        <v>662315</v>
      </c>
      <c r="B516" s="50">
        <v>315</v>
      </c>
      <c r="C516" s="89">
        <v>7798152260115</v>
      </c>
      <c r="D516" s="50" t="s">
        <v>798</v>
      </c>
      <c r="E516" s="101">
        <v>20527.650000000001</v>
      </c>
      <c r="F516" s="101">
        <v>18474.885000000002</v>
      </c>
      <c r="G516" s="133">
        <v>2052.7649999999994</v>
      </c>
      <c r="H516" s="50" t="s">
        <v>17</v>
      </c>
      <c r="I516" s="50" t="s">
        <v>22</v>
      </c>
      <c r="J516" s="52">
        <v>46178</v>
      </c>
      <c r="K516" s="52">
        <v>46234</v>
      </c>
      <c r="L516" s="134" t="s">
        <v>734</v>
      </c>
    </row>
    <row r="517" spans="1:12">
      <c r="A517" s="89">
        <v>666698</v>
      </c>
      <c r="B517" s="50">
        <v>0</v>
      </c>
      <c r="C517" s="89">
        <v>7798152260894</v>
      </c>
      <c r="D517" s="50" t="s">
        <v>799</v>
      </c>
      <c r="E517" s="101">
        <v>194300</v>
      </c>
      <c r="F517" s="101">
        <v>174870</v>
      </c>
      <c r="G517" s="133">
        <v>19430</v>
      </c>
      <c r="H517" s="50" t="s">
        <v>17</v>
      </c>
      <c r="I517" s="50" t="s">
        <v>22</v>
      </c>
      <c r="J517" s="52">
        <v>46178</v>
      </c>
      <c r="K517" s="52">
        <v>46234</v>
      </c>
      <c r="L517" s="134" t="s">
        <v>734</v>
      </c>
    </row>
    <row r="518" spans="1:12">
      <c r="A518" s="89">
        <v>13440</v>
      </c>
      <c r="B518" s="50">
        <v>2306</v>
      </c>
      <c r="C518" s="89">
        <v>7794450001696</v>
      </c>
      <c r="D518" s="50" t="s">
        <v>800</v>
      </c>
      <c r="E518" s="101">
        <v>38478</v>
      </c>
      <c r="F518" s="101">
        <v>34630.200000000004</v>
      </c>
      <c r="G518" s="133">
        <v>3847.7999999999956</v>
      </c>
      <c r="H518" s="50" t="s">
        <v>17</v>
      </c>
      <c r="I518" s="50" t="s">
        <v>22</v>
      </c>
      <c r="J518" s="52">
        <v>46178</v>
      </c>
      <c r="K518" s="52">
        <v>46234</v>
      </c>
      <c r="L518" s="134" t="s">
        <v>734</v>
      </c>
    </row>
    <row r="519" spans="1:12">
      <c r="A519" s="89">
        <v>13439</v>
      </c>
      <c r="B519" s="50" t="s">
        <v>801</v>
      </c>
      <c r="C519" s="89">
        <v>7794450090515</v>
      </c>
      <c r="D519" s="50" t="s">
        <v>802</v>
      </c>
      <c r="E519" s="101">
        <v>23085</v>
      </c>
      <c r="F519" s="101">
        <v>20776.5</v>
      </c>
      <c r="G519" s="133">
        <v>2308.5</v>
      </c>
      <c r="H519" s="50" t="s">
        <v>17</v>
      </c>
      <c r="I519" s="50" t="s">
        <v>22</v>
      </c>
      <c r="J519" s="52">
        <v>46178</v>
      </c>
      <c r="K519" s="52">
        <v>46234</v>
      </c>
      <c r="L519" s="134" t="s">
        <v>734</v>
      </c>
    </row>
    <row r="520" spans="1:12">
      <c r="A520" s="89">
        <v>663258</v>
      </c>
      <c r="B520" s="50">
        <v>0</v>
      </c>
      <c r="C520" s="89">
        <v>7798127631803</v>
      </c>
      <c r="D520" s="50" t="s">
        <v>803</v>
      </c>
      <c r="E520" s="101">
        <v>7762.7709999999997</v>
      </c>
      <c r="F520" s="101">
        <v>6986.4938999999995</v>
      </c>
      <c r="G520" s="133">
        <v>776.27710000000025</v>
      </c>
      <c r="H520" s="50" t="s">
        <v>17</v>
      </c>
      <c r="I520" s="50" t="s">
        <v>22</v>
      </c>
      <c r="J520" s="52">
        <v>46178</v>
      </c>
      <c r="K520" s="52">
        <v>46234</v>
      </c>
      <c r="L520" s="134" t="s">
        <v>734</v>
      </c>
    </row>
    <row r="521" spans="1:12">
      <c r="A521" s="89">
        <v>659580</v>
      </c>
      <c r="B521" s="50">
        <v>14554</v>
      </c>
      <c r="C521" s="89">
        <v>7790704270375</v>
      </c>
      <c r="D521" s="50" t="s">
        <v>804</v>
      </c>
      <c r="E521" s="101">
        <v>1668.2429999999999</v>
      </c>
      <c r="F521" s="101">
        <v>1501.4186999999999</v>
      </c>
      <c r="G521" s="133">
        <v>166.82429999999999</v>
      </c>
      <c r="H521" s="50" t="s">
        <v>17</v>
      </c>
      <c r="I521" s="50" t="s">
        <v>22</v>
      </c>
      <c r="J521" s="52">
        <v>46178</v>
      </c>
      <c r="K521" s="52">
        <v>46234</v>
      </c>
      <c r="L521" s="134" t="s">
        <v>734</v>
      </c>
    </row>
    <row r="522" spans="1:12">
      <c r="A522" s="89">
        <v>659581</v>
      </c>
      <c r="B522" s="50">
        <v>14555</v>
      </c>
      <c r="C522" s="89">
        <v>7790704270382</v>
      </c>
      <c r="D522" s="50" t="s">
        <v>805</v>
      </c>
      <c r="E522" s="101">
        <v>8404.5540000000001</v>
      </c>
      <c r="F522" s="101">
        <v>7564.0986000000003</v>
      </c>
      <c r="G522" s="133">
        <v>840.45539999999983</v>
      </c>
      <c r="H522" s="50" t="s">
        <v>17</v>
      </c>
      <c r="I522" s="50" t="s">
        <v>22</v>
      </c>
      <c r="J522" s="52">
        <v>46178</v>
      </c>
      <c r="K522" s="52">
        <v>46234</v>
      </c>
      <c r="L522" s="134" t="s">
        <v>734</v>
      </c>
    </row>
    <row r="523" spans="1:12">
      <c r="A523" s="89">
        <v>660718</v>
      </c>
      <c r="B523" s="50">
        <v>21904</v>
      </c>
      <c r="C523" s="89">
        <v>7790577006125</v>
      </c>
      <c r="D523" s="50" t="s">
        <v>806</v>
      </c>
      <c r="E523" s="101">
        <v>14355</v>
      </c>
      <c r="F523" s="101">
        <v>12919.5</v>
      </c>
      <c r="G523" s="133">
        <v>1435.5</v>
      </c>
      <c r="H523" s="50" t="s">
        <v>17</v>
      </c>
      <c r="I523" s="50" t="s">
        <v>22</v>
      </c>
      <c r="J523" s="52">
        <v>46178</v>
      </c>
      <c r="K523" s="52">
        <v>46234</v>
      </c>
      <c r="L523" s="134" t="s">
        <v>734</v>
      </c>
    </row>
    <row r="524" spans="1:12">
      <c r="A524" s="89">
        <v>14792</v>
      </c>
      <c r="B524" s="50">
        <v>458</v>
      </c>
      <c r="C524" s="89">
        <v>7794450002747</v>
      </c>
      <c r="D524" s="50" t="s">
        <v>807</v>
      </c>
      <c r="E524" s="101">
        <v>7350.0060000000003</v>
      </c>
      <c r="F524" s="101">
        <v>6615.0054</v>
      </c>
      <c r="G524" s="133">
        <v>735.0006000000003</v>
      </c>
      <c r="H524" s="50" t="s">
        <v>17</v>
      </c>
      <c r="I524" s="50" t="s">
        <v>22</v>
      </c>
      <c r="J524" s="52">
        <v>46178</v>
      </c>
      <c r="K524" s="52">
        <v>46234</v>
      </c>
      <c r="L524" s="134" t="s">
        <v>734</v>
      </c>
    </row>
    <row r="525" spans="1:12">
      <c r="A525" s="89">
        <v>665432</v>
      </c>
      <c r="B525" s="50">
        <v>1126</v>
      </c>
      <c r="C525" s="89">
        <v>7798000213539</v>
      </c>
      <c r="D525" s="50" t="s">
        <v>808</v>
      </c>
      <c r="E525" s="101">
        <v>15329.4</v>
      </c>
      <c r="F525" s="101">
        <v>13796.46</v>
      </c>
      <c r="G525" s="133">
        <v>1532.9400000000005</v>
      </c>
      <c r="H525" s="50" t="s">
        <v>17</v>
      </c>
      <c r="I525" s="50" t="s">
        <v>22</v>
      </c>
      <c r="J525" s="52">
        <v>46178</v>
      </c>
      <c r="K525" s="52">
        <v>46234</v>
      </c>
      <c r="L525" s="134" t="s">
        <v>734</v>
      </c>
    </row>
    <row r="526" spans="1:12">
      <c r="A526" s="89">
        <v>665431</v>
      </c>
      <c r="B526" s="50">
        <v>1114</v>
      </c>
      <c r="C526" s="89">
        <v>7798000213522</v>
      </c>
      <c r="D526" s="50" t="s">
        <v>809</v>
      </c>
      <c r="E526" s="101">
        <v>15329.4</v>
      </c>
      <c r="F526" s="101">
        <v>13796.46</v>
      </c>
      <c r="G526" s="133">
        <v>1532.9400000000005</v>
      </c>
      <c r="H526" s="50" t="s">
        <v>17</v>
      </c>
      <c r="I526" s="50" t="s">
        <v>22</v>
      </c>
      <c r="J526" s="52">
        <v>46178</v>
      </c>
      <c r="K526" s="52">
        <v>46234</v>
      </c>
      <c r="L526" s="134" t="s">
        <v>734</v>
      </c>
    </row>
    <row r="527" spans="1:12">
      <c r="A527" s="89">
        <v>664044</v>
      </c>
      <c r="B527" s="50">
        <v>1689</v>
      </c>
      <c r="C527" s="89">
        <v>7790470086392</v>
      </c>
      <c r="D527" s="50" t="s">
        <v>810</v>
      </c>
      <c r="E527" s="101">
        <v>9690</v>
      </c>
      <c r="F527" s="101">
        <v>8721</v>
      </c>
      <c r="G527" s="133">
        <v>969</v>
      </c>
      <c r="H527" s="50" t="s">
        <v>17</v>
      </c>
      <c r="I527" s="50" t="s">
        <v>22</v>
      </c>
      <c r="J527" s="52">
        <v>46178</v>
      </c>
      <c r="K527" s="52">
        <v>46234</v>
      </c>
      <c r="L527" s="134" t="s">
        <v>734</v>
      </c>
    </row>
    <row r="528" spans="1:12">
      <c r="A528" s="89">
        <v>664042</v>
      </c>
      <c r="B528" s="50">
        <v>1690</v>
      </c>
      <c r="C528" s="89">
        <v>7790470086408</v>
      </c>
      <c r="D528" s="50" t="s">
        <v>811</v>
      </c>
      <c r="E528" s="101">
        <v>9690</v>
      </c>
      <c r="F528" s="101">
        <v>8721</v>
      </c>
      <c r="G528" s="133">
        <v>969</v>
      </c>
      <c r="H528" s="50" t="s">
        <v>17</v>
      </c>
      <c r="I528" s="50" t="s">
        <v>22</v>
      </c>
      <c r="J528" s="52">
        <v>46178</v>
      </c>
      <c r="K528" s="52">
        <v>46234</v>
      </c>
      <c r="L528" s="134" t="s">
        <v>734</v>
      </c>
    </row>
    <row r="529" spans="1:12">
      <c r="A529" s="89">
        <v>666132</v>
      </c>
      <c r="B529" s="50">
        <v>1719</v>
      </c>
      <c r="C529" s="89">
        <v>7790470086415</v>
      </c>
      <c r="D529" s="50" t="s">
        <v>812</v>
      </c>
      <c r="E529" s="101">
        <v>9690.2800000000007</v>
      </c>
      <c r="F529" s="101">
        <v>8721.2520000000004</v>
      </c>
      <c r="G529" s="133">
        <v>969.02800000000025</v>
      </c>
      <c r="H529" s="50" t="s">
        <v>17</v>
      </c>
      <c r="I529" s="50" t="s">
        <v>22</v>
      </c>
      <c r="J529" s="52">
        <v>46178</v>
      </c>
      <c r="K529" s="52">
        <v>46234</v>
      </c>
      <c r="L529" s="134" t="s">
        <v>734</v>
      </c>
    </row>
    <row r="530" spans="1:12">
      <c r="A530" s="89">
        <v>665088</v>
      </c>
      <c r="B530" s="50">
        <v>1688</v>
      </c>
      <c r="C530" s="89">
        <v>7790470086149</v>
      </c>
      <c r="D530" s="50" t="s">
        <v>813</v>
      </c>
      <c r="E530" s="101">
        <v>7927.866</v>
      </c>
      <c r="F530" s="101">
        <v>7135.0794000000005</v>
      </c>
      <c r="G530" s="133">
        <v>792.78659999999945</v>
      </c>
      <c r="H530" s="50" t="s">
        <v>17</v>
      </c>
      <c r="I530" s="50" t="s">
        <v>22</v>
      </c>
      <c r="J530" s="52">
        <v>46178</v>
      </c>
      <c r="K530" s="52">
        <v>46234</v>
      </c>
      <c r="L530" s="134" t="s">
        <v>734</v>
      </c>
    </row>
    <row r="531" spans="1:12">
      <c r="A531" s="89">
        <v>663930</v>
      </c>
      <c r="B531" s="50">
        <v>1005</v>
      </c>
      <c r="C531" s="89">
        <v>7790470082585</v>
      </c>
      <c r="D531" s="50" t="s">
        <v>814</v>
      </c>
      <c r="E531" s="101">
        <v>11333.517</v>
      </c>
      <c r="F531" s="101">
        <v>10200.165300000001</v>
      </c>
      <c r="G531" s="133">
        <v>1133.3516999999993</v>
      </c>
      <c r="H531" s="50" t="s">
        <v>17</v>
      </c>
      <c r="I531" s="50" t="s">
        <v>22</v>
      </c>
      <c r="J531" s="52">
        <v>46178</v>
      </c>
      <c r="K531" s="52">
        <v>46234</v>
      </c>
      <c r="L531" s="134" t="s">
        <v>734</v>
      </c>
    </row>
    <row r="532" spans="1:12">
      <c r="A532" s="89">
        <v>659799</v>
      </c>
      <c r="B532" s="50">
        <v>972</v>
      </c>
      <c r="C532" s="89">
        <v>7790470082639</v>
      </c>
      <c r="D532" s="50" t="s">
        <v>815</v>
      </c>
      <c r="E532" s="101">
        <v>11333.517</v>
      </c>
      <c r="F532" s="101">
        <v>10200.165300000001</v>
      </c>
      <c r="G532" s="133">
        <v>1133.3516999999993</v>
      </c>
      <c r="H532" s="50" t="s">
        <v>17</v>
      </c>
      <c r="I532" s="50" t="s">
        <v>22</v>
      </c>
      <c r="J532" s="52">
        <v>46178</v>
      </c>
      <c r="K532" s="52">
        <v>46234</v>
      </c>
      <c r="L532" s="134" t="s">
        <v>734</v>
      </c>
    </row>
    <row r="533" spans="1:12">
      <c r="A533" s="89">
        <v>6560</v>
      </c>
      <c r="B533" s="50">
        <v>971</v>
      </c>
      <c r="C533" s="89">
        <v>7790470082769</v>
      </c>
      <c r="D533" s="50" t="s">
        <v>816</v>
      </c>
      <c r="E533" s="101">
        <v>8095.3450000000003</v>
      </c>
      <c r="F533" s="101">
        <v>7285.8105000000005</v>
      </c>
      <c r="G533" s="133">
        <v>809.53449999999975</v>
      </c>
      <c r="H533" s="50" t="s">
        <v>17</v>
      </c>
      <c r="I533" s="50" t="s">
        <v>22</v>
      </c>
      <c r="J533" s="52">
        <v>46178</v>
      </c>
      <c r="K533" s="52">
        <v>46234</v>
      </c>
      <c r="L533" s="134" t="s">
        <v>734</v>
      </c>
    </row>
    <row r="534" spans="1:12">
      <c r="A534" s="89">
        <v>4599</v>
      </c>
      <c r="B534" s="50">
        <v>70201</v>
      </c>
      <c r="C534" s="89">
        <v>7790240012019</v>
      </c>
      <c r="D534" s="50" t="s">
        <v>817</v>
      </c>
      <c r="E534" s="101">
        <v>7643.875</v>
      </c>
      <c r="F534" s="101">
        <v>6879.4875000000002</v>
      </c>
      <c r="G534" s="133">
        <v>764.38749999999982</v>
      </c>
      <c r="H534" s="50" t="s">
        <v>17</v>
      </c>
      <c r="I534" s="50" t="s">
        <v>22</v>
      </c>
      <c r="J534" s="52">
        <v>46178</v>
      </c>
      <c r="K534" s="52">
        <v>46234</v>
      </c>
      <c r="L534" s="134" t="s">
        <v>734</v>
      </c>
    </row>
    <row r="535" spans="1:12">
      <c r="A535" s="89">
        <v>13879</v>
      </c>
      <c r="B535" s="50">
        <v>70202</v>
      </c>
      <c r="C535" s="89">
        <v>7790240012026</v>
      </c>
      <c r="D535" s="50" t="s">
        <v>818</v>
      </c>
      <c r="E535" s="101">
        <v>7643.875</v>
      </c>
      <c r="F535" s="101">
        <v>6879.4875000000002</v>
      </c>
      <c r="G535" s="133">
        <v>764.38749999999982</v>
      </c>
      <c r="H535" s="50" t="s">
        <v>17</v>
      </c>
      <c r="I535" s="50" t="s">
        <v>22</v>
      </c>
      <c r="J535" s="52">
        <v>46178</v>
      </c>
      <c r="K535" s="52">
        <v>46234</v>
      </c>
      <c r="L535" s="134" t="s">
        <v>734</v>
      </c>
    </row>
    <row r="536" spans="1:12">
      <c r="A536" s="89">
        <v>656931</v>
      </c>
      <c r="B536" s="50">
        <v>76069</v>
      </c>
      <c r="C536" s="89">
        <v>7790070779014</v>
      </c>
      <c r="D536" s="50" t="s">
        <v>819</v>
      </c>
      <c r="E536" s="101">
        <v>6136.357</v>
      </c>
      <c r="F536" s="101">
        <v>5522.7213000000002</v>
      </c>
      <c r="G536" s="133">
        <v>613.63569999999982</v>
      </c>
      <c r="H536" s="50" t="s">
        <v>17</v>
      </c>
      <c r="I536" s="50" t="s">
        <v>22</v>
      </c>
      <c r="J536" s="52">
        <v>46178</v>
      </c>
      <c r="K536" s="52">
        <v>46234</v>
      </c>
      <c r="L536" s="134" t="s">
        <v>734</v>
      </c>
    </row>
    <row r="537" spans="1:12">
      <c r="A537" s="89">
        <v>663815</v>
      </c>
      <c r="B537" s="50">
        <v>0</v>
      </c>
      <c r="C537" s="89">
        <v>7798159947217</v>
      </c>
      <c r="D537" s="50" t="s">
        <v>820</v>
      </c>
      <c r="E537" s="101">
        <v>14699.99</v>
      </c>
      <c r="F537" s="101">
        <v>13229.991</v>
      </c>
      <c r="G537" s="133">
        <v>1469.9989999999998</v>
      </c>
      <c r="H537" s="50" t="s">
        <v>17</v>
      </c>
      <c r="I537" s="50" t="s">
        <v>22</v>
      </c>
      <c r="J537" s="52">
        <v>46178</v>
      </c>
      <c r="K537" s="52">
        <v>46234</v>
      </c>
      <c r="L537" s="134" t="s">
        <v>734</v>
      </c>
    </row>
    <row r="538" spans="1:12">
      <c r="A538" s="89">
        <v>659579</v>
      </c>
      <c r="B538" s="50">
        <v>14553</v>
      </c>
      <c r="C538" s="89">
        <v>7791540152887</v>
      </c>
      <c r="D538" s="50" t="s">
        <v>821</v>
      </c>
      <c r="E538" s="101">
        <v>6697.5879999999997</v>
      </c>
      <c r="F538" s="101">
        <v>6027.8292000000001</v>
      </c>
      <c r="G538" s="133">
        <v>669.75879999999961</v>
      </c>
      <c r="H538" s="50" t="s">
        <v>17</v>
      </c>
      <c r="I538" s="50" t="s">
        <v>22</v>
      </c>
      <c r="J538" s="52">
        <v>46178</v>
      </c>
      <c r="K538" s="52">
        <v>46234</v>
      </c>
      <c r="L538" s="134" t="s">
        <v>734</v>
      </c>
    </row>
    <row r="539" spans="1:12">
      <c r="A539" s="89">
        <v>666188</v>
      </c>
      <c r="B539" s="50">
        <v>696</v>
      </c>
      <c r="C539" s="89">
        <v>7798000210521</v>
      </c>
      <c r="D539" s="50" t="s">
        <v>822</v>
      </c>
      <c r="E539" s="101">
        <v>10929.29</v>
      </c>
      <c r="F539" s="101">
        <v>9836.3610000000008</v>
      </c>
      <c r="G539" s="133">
        <v>1092.9290000000001</v>
      </c>
      <c r="H539" s="50" t="s">
        <v>17</v>
      </c>
      <c r="I539" s="50" t="s">
        <v>22</v>
      </c>
      <c r="J539" s="52">
        <v>46178</v>
      </c>
      <c r="K539" s="52">
        <v>46234</v>
      </c>
      <c r="L539" s="134" t="s">
        <v>734</v>
      </c>
    </row>
    <row r="540" spans="1:12">
      <c r="A540" s="89">
        <v>666189</v>
      </c>
      <c r="B540" s="50">
        <v>661</v>
      </c>
      <c r="C540" s="89">
        <v>7798000213652</v>
      </c>
      <c r="D540" s="50" t="s">
        <v>823</v>
      </c>
      <c r="E540" s="101">
        <v>10929.29</v>
      </c>
      <c r="F540" s="101">
        <v>9836.3610000000008</v>
      </c>
      <c r="G540" s="133">
        <v>1092.9290000000001</v>
      </c>
      <c r="H540" s="50" t="s">
        <v>17</v>
      </c>
      <c r="I540" s="50" t="s">
        <v>22</v>
      </c>
      <c r="J540" s="52">
        <v>46178</v>
      </c>
      <c r="K540" s="52">
        <v>46234</v>
      </c>
      <c r="L540" s="134" t="s">
        <v>734</v>
      </c>
    </row>
    <row r="541" spans="1:12">
      <c r="A541" s="89">
        <v>666190</v>
      </c>
      <c r="B541" s="50">
        <v>1533</v>
      </c>
      <c r="C541" s="89">
        <v>7798000213218</v>
      </c>
      <c r="D541" s="50" t="s">
        <v>824</v>
      </c>
      <c r="E541" s="101">
        <v>10929.29</v>
      </c>
      <c r="F541" s="101">
        <v>9836.3610000000008</v>
      </c>
      <c r="G541" s="133">
        <v>1092.9290000000001</v>
      </c>
      <c r="H541" s="50" t="s">
        <v>17</v>
      </c>
      <c r="I541" s="50" t="s">
        <v>22</v>
      </c>
      <c r="J541" s="52">
        <v>46178</v>
      </c>
      <c r="K541" s="52">
        <v>46234</v>
      </c>
      <c r="L541" s="134" t="s">
        <v>734</v>
      </c>
    </row>
    <row r="542" spans="1:12">
      <c r="A542" s="89">
        <v>662527</v>
      </c>
      <c r="B542" s="50">
        <v>527</v>
      </c>
      <c r="C542" s="89">
        <v>7798152261372</v>
      </c>
      <c r="D542" s="50" t="s">
        <v>825</v>
      </c>
      <c r="E542" s="101">
        <v>31896.81</v>
      </c>
      <c r="F542" s="101">
        <v>28707.129000000001</v>
      </c>
      <c r="G542" s="133">
        <v>3189.6810000000005</v>
      </c>
      <c r="H542" s="50" t="s">
        <v>17</v>
      </c>
      <c r="I542" s="50" t="s">
        <v>22</v>
      </c>
      <c r="J542" s="52">
        <v>46178</v>
      </c>
      <c r="K542" s="52">
        <v>46234</v>
      </c>
      <c r="L542" s="134" t="s">
        <v>734</v>
      </c>
    </row>
    <row r="543" spans="1:12">
      <c r="A543" s="89">
        <v>662524</v>
      </c>
      <c r="B543" s="50">
        <v>524</v>
      </c>
      <c r="C543" s="89">
        <v>7798152262218</v>
      </c>
      <c r="D543" s="50" t="s">
        <v>826</v>
      </c>
      <c r="E543" s="101">
        <v>22338.29</v>
      </c>
      <c r="F543" s="101">
        <v>20104.461000000003</v>
      </c>
      <c r="G543" s="133">
        <v>2233.8289999999979</v>
      </c>
      <c r="H543" s="50" t="s">
        <v>17</v>
      </c>
      <c r="I543" s="50" t="s">
        <v>22</v>
      </c>
      <c r="J543" s="52">
        <v>46178</v>
      </c>
      <c r="K543" s="52">
        <v>46234</v>
      </c>
      <c r="L543" s="134" t="s">
        <v>734</v>
      </c>
    </row>
    <row r="544" spans="1:12">
      <c r="A544" s="89">
        <v>665947</v>
      </c>
      <c r="B544" s="50">
        <v>947</v>
      </c>
      <c r="C544" s="89">
        <v>7798152264342</v>
      </c>
      <c r="D544" s="50" t="s">
        <v>827</v>
      </c>
      <c r="E544" s="101">
        <v>22843.59</v>
      </c>
      <c r="F544" s="101">
        <v>20559.231</v>
      </c>
      <c r="G544" s="133">
        <v>2284.3590000000004</v>
      </c>
      <c r="H544" s="50" t="s">
        <v>17</v>
      </c>
      <c r="I544" s="50" t="s">
        <v>22</v>
      </c>
      <c r="J544" s="52">
        <v>46178</v>
      </c>
      <c r="K544" s="52">
        <v>46234</v>
      </c>
      <c r="L544" s="134" t="s">
        <v>734</v>
      </c>
    </row>
    <row r="545" spans="1:12">
      <c r="A545" s="89">
        <v>665946</v>
      </c>
      <c r="B545" s="50">
        <v>946</v>
      </c>
      <c r="C545" s="89">
        <v>7798152264359</v>
      </c>
      <c r="D545" s="50" t="s">
        <v>828</v>
      </c>
      <c r="E545" s="101">
        <v>22843.59</v>
      </c>
      <c r="F545" s="101">
        <v>20559.231</v>
      </c>
      <c r="G545" s="133">
        <v>2284.3590000000004</v>
      </c>
      <c r="H545" s="50" t="s">
        <v>17</v>
      </c>
      <c r="I545" s="50" t="s">
        <v>22</v>
      </c>
      <c r="J545" s="52">
        <v>46178</v>
      </c>
      <c r="K545" s="52">
        <v>46234</v>
      </c>
      <c r="L545" s="134" t="s">
        <v>734</v>
      </c>
    </row>
    <row r="546" spans="1:12">
      <c r="A546" s="89">
        <v>665529</v>
      </c>
      <c r="B546" s="50">
        <v>3131</v>
      </c>
      <c r="C546" s="89">
        <v>7798126082309</v>
      </c>
      <c r="D546" s="50" t="s">
        <v>829</v>
      </c>
      <c r="E546" s="101">
        <v>16717.36</v>
      </c>
      <c r="F546" s="101">
        <v>15045.624000000002</v>
      </c>
      <c r="G546" s="133">
        <v>1671.735999999999</v>
      </c>
      <c r="H546" s="50" t="s">
        <v>17</v>
      </c>
      <c r="I546" s="50" t="s">
        <v>22</v>
      </c>
      <c r="J546" s="52">
        <v>46178</v>
      </c>
      <c r="K546" s="52">
        <v>46234</v>
      </c>
      <c r="L546" s="134" t="s">
        <v>734</v>
      </c>
    </row>
    <row r="547" spans="1:12">
      <c r="A547" s="89">
        <v>660389</v>
      </c>
      <c r="B547" s="50">
        <v>0</v>
      </c>
      <c r="C547" s="89">
        <v>7798126082644</v>
      </c>
      <c r="D547" s="50" t="s">
        <v>830</v>
      </c>
      <c r="E547" s="101">
        <v>18319.099999999999</v>
      </c>
      <c r="F547" s="101">
        <v>16487.189999999999</v>
      </c>
      <c r="G547" s="133">
        <v>1831.9099999999999</v>
      </c>
      <c r="H547" s="50" t="s">
        <v>17</v>
      </c>
      <c r="I547" s="50" t="s">
        <v>22</v>
      </c>
      <c r="J547" s="52">
        <v>46178</v>
      </c>
      <c r="K547" s="52">
        <v>46234</v>
      </c>
      <c r="L547" s="134" t="s">
        <v>734</v>
      </c>
    </row>
    <row r="548" spans="1:12">
      <c r="A548" s="89">
        <v>660391</v>
      </c>
      <c r="B548" s="50">
        <v>0</v>
      </c>
      <c r="C548" s="89">
        <v>7794450093509</v>
      </c>
      <c r="D548" s="50" t="s">
        <v>831</v>
      </c>
      <c r="E548" s="101">
        <v>18319.13</v>
      </c>
      <c r="F548" s="101">
        <v>16487.217000000001</v>
      </c>
      <c r="G548" s="133">
        <v>1831.9130000000005</v>
      </c>
      <c r="H548" s="50" t="s">
        <v>17</v>
      </c>
      <c r="I548" s="50" t="s">
        <v>22</v>
      </c>
      <c r="J548" s="52">
        <v>46178</v>
      </c>
      <c r="K548" s="52">
        <v>46234</v>
      </c>
      <c r="L548" s="134" t="s">
        <v>734</v>
      </c>
    </row>
    <row r="549" spans="1:12">
      <c r="A549" s="89">
        <v>660390</v>
      </c>
      <c r="B549" s="50">
        <v>300210502</v>
      </c>
      <c r="C549" s="89">
        <v>7794450093516</v>
      </c>
      <c r="D549" s="50" t="s">
        <v>832</v>
      </c>
      <c r="E549" s="101">
        <v>18319.13</v>
      </c>
      <c r="F549" s="101">
        <v>16487.217000000001</v>
      </c>
      <c r="G549" s="133">
        <v>1831.9130000000005</v>
      </c>
      <c r="H549" s="50" t="s">
        <v>17</v>
      </c>
      <c r="I549" s="50" t="s">
        <v>22</v>
      </c>
      <c r="J549" s="52">
        <v>46178</v>
      </c>
      <c r="K549" s="52">
        <v>46234</v>
      </c>
      <c r="L549" s="134" t="s">
        <v>734</v>
      </c>
    </row>
    <row r="550" spans="1:12">
      <c r="A550" s="89">
        <v>666699</v>
      </c>
      <c r="B550" s="50">
        <v>0</v>
      </c>
      <c r="C550" s="89">
        <v>7798152262300</v>
      </c>
      <c r="D550" s="50" t="s">
        <v>833</v>
      </c>
      <c r="E550" s="101">
        <v>7162.9920000000002</v>
      </c>
      <c r="F550" s="101">
        <v>6446.6928000000007</v>
      </c>
      <c r="G550" s="133">
        <v>716.29919999999947</v>
      </c>
      <c r="H550" s="50" t="s">
        <v>17</v>
      </c>
      <c r="I550" s="50" t="s">
        <v>22</v>
      </c>
      <c r="J550" s="52">
        <v>46178</v>
      </c>
      <c r="K550" s="52">
        <v>46234</v>
      </c>
      <c r="L550" s="134" t="s">
        <v>734</v>
      </c>
    </row>
    <row r="551" spans="1:12">
      <c r="A551" s="89">
        <v>666589</v>
      </c>
      <c r="B551" s="50">
        <v>2887</v>
      </c>
      <c r="C551" s="89">
        <v>736684256715</v>
      </c>
      <c r="D551" s="50" t="s">
        <v>834</v>
      </c>
      <c r="E551" s="101">
        <v>4930.4610000000002</v>
      </c>
      <c r="F551" s="101">
        <v>4437.4149000000007</v>
      </c>
      <c r="G551" s="133">
        <v>493.04609999999957</v>
      </c>
      <c r="H551" s="50" t="s">
        <v>17</v>
      </c>
      <c r="I551" s="50" t="s">
        <v>22</v>
      </c>
      <c r="J551" s="52">
        <v>46178</v>
      </c>
      <c r="K551" s="52">
        <v>46234</v>
      </c>
      <c r="L551" s="134" t="s">
        <v>734</v>
      </c>
    </row>
    <row r="552" spans="1:12">
      <c r="A552" s="89">
        <v>666588</v>
      </c>
      <c r="B552" s="50">
        <v>2886</v>
      </c>
      <c r="C552" s="89">
        <v>736684256708</v>
      </c>
      <c r="D552" s="50" t="s">
        <v>835</v>
      </c>
      <c r="E552" s="101">
        <v>4930.4610000000002</v>
      </c>
      <c r="F552" s="101">
        <v>4437.4149000000007</v>
      </c>
      <c r="G552" s="133">
        <v>493.04609999999957</v>
      </c>
      <c r="H552" s="50" t="s">
        <v>17</v>
      </c>
      <c r="I552" s="50" t="s">
        <v>22</v>
      </c>
      <c r="J552" s="52">
        <v>46178</v>
      </c>
      <c r="K552" s="52">
        <v>46234</v>
      </c>
      <c r="L552" s="134" t="s">
        <v>734</v>
      </c>
    </row>
    <row r="553" spans="1:12">
      <c r="A553" s="89">
        <v>18281</v>
      </c>
      <c r="B553" s="50">
        <v>74583</v>
      </c>
      <c r="C553" s="89">
        <v>7791540149351</v>
      </c>
      <c r="D553" s="50" t="s">
        <v>836</v>
      </c>
      <c r="E553" s="101">
        <v>9343.8490000000002</v>
      </c>
      <c r="F553" s="101">
        <v>8409.4641000000011</v>
      </c>
      <c r="G553" s="133">
        <v>934.38489999999911</v>
      </c>
      <c r="H553" s="50" t="s">
        <v>17</v>
      </c>
      <c r="I553" s="50" t="s">
        <v>22</v>
      </c>
      <c r="J553" s="52">
        <v>46178</v>
      </c>
      <c r="K553" s="52">
        <v>46234</v>
      </c>
      <c r="L553" s="134" t="s">
        <v>734</v>
      </c>
    </row>
    <row r="554" spans="1:12">
      <c r="A554" s="89">
        <v>663456</v>
      </c>
      <c r="B554" s="50" t="s">
        <v>837</v>
      </c>
      <c r="C554" s="89">
        <v>7794450946423</v>
      </c>
      <c r="D554" s="50" t="s">
        <v>838</v>
      </c>
      <c r="E554" s="101">
        <v>51248.99</v>
      </c>
      <c r="F554" s="101">
        <v>46124.091</v>
      </c>
      <c r="G554" s="133">
        <v>5124.8989999999976</v>
      </c>
      <c r="H554" s="50" t="s">
        <v>17</v>
      </c>
      <c r="I554" s="50" t="s">
        <v>22</v>
      </c>
      <c r="J554" s="52">
        <v>46178</v>
      </c>
      <c r="K554" s="52">
        <v>46234</v>
      </c>
      <c r="L554" s="134" t="s">
        <v>734</v>
      </c>
    </row>
    <row r="555" spans="1:12">
      <c r="A555" s="89">
        <v>660469</v>
      </c>
      <c r="B555" s="50">
        <v>0</v>
      </c>
      <c r="C555" s="89">
        <v>7798126080213</v>
      </c>
      <c r="D555" s="50" t="s">
        <v>839</v>
      </c>
      <c r="E555" s="101">
        <v>35449.300000000003</v>
      </c>
      <c r="F555" s="101">
        <v>31904.370000000003</v>
      </c>
      <c r="G555" s="133">
        <v>3544.9300000000003</v>
      </c>
      <c r="H555" s="50" t="s">
        <v>17</v>
      </c>
      <c r="I555" s="50" t="s">
        <v>22</v>
      </c>
      <c r="J555" s="52">
        <v>46178</v>
      </c>
      <c r="K555" s="52">
        <v>46234</v>
      </c>
      <c r="L555" s="134" t="s">
        <v>734</v>
      </c>
    </row>
    <row r="556" spans="1:12">
      <c r="A556" s="89">
        <v>660547</v>
      </c>
      <c r="B556" s="50">
        <v>0</v>
      </c>
      <c r="C556" s="89">
        <v>7798159946630</v>
      </c>
      <c r="D556" s="50" t="s">
        <v>840</v>
      </c>
      <c r="E556" s="101">
        <v>56400</v>
      </c>
      <c r="F556" s="101">
        <v>50760</v>
      </c>
      <c r="G556" s="133">
        <v>5640</v>
      </c>
      <c r="H556" s="50" t="s">
        <v>17</v>
      </c>
      <c r="I556" s="50" t="s">
        <v>22</v>
      </c>
      <c r="J556" s="52">
        <v>46178</v>
      </c>
      <c r="K556" s="52">
        <v>46234</v>
      </c>
      <c r="L556" s="134" t="s">
        <v>734</v>
      </c>
    </row>
    <row r="557" spans="1:12">
      <c r="A557" s="89">
        <v>666060</v>
      </c>
      <c r="B557" s="50">
        <v>0</v>
      </c>
      <c r="C557" s="89">
        <v>7798126084181</v>
      </c>
      <c r="D557" s="50" t="s">
        <v>841</v>
      </c>
      <c r="E557" s="101">
        <v>20270.79</v>
      </c>
      <c r="F557" s="101">
        <v>18243.711000000003</v>
      </c>
      <c r="G557" s="133">
        <v>2027.0789999999979</v>
      </c>
      <c r="H557" s="50" t="s">
        <v>17</v>
      </c>
      <c r="I557" s="50" t="s">
        <v>22</v>
      </c>
      <c r="J557" s="52">
        <v>46178</v>
      </c>
      <c r="K557" s="52">
        <v>46234</v>
      </c>
      <c r="L557" s="134" t="s">
        <v>734</v>
      </c>
    </row>
    <row r="558" spans="1:12">
      <c r="A558" s="89">
        <v>660546</v>
      </c>
      <c r="B558" s="50">
        <v>284796</v>
      </c>
      <c r="C558" s="89">
        <v>7798353191867</v>
      </c>
      <c r="D558" s="50" t="s">
        <v>842</v>
      </c>
      <c r="E558" s="101">
        <v>39519.99</v>
      </c>
      <c r="F558" s="101">
        <v>35567.991000000002</v>
      </c>
      <c r="G558" s="133">
        <v>3951.9989999999962</v>
      </c>
      <c r="H558" s="50" t="s">
        <v>17</v>
      </c>
      <c r="I558" s="50" t="s">
        <v>22</v>
      </c>
      <c r="J558" s="52">
        <v>46178</v>
      </c>
      <c r="K558" s="52">
        <v>46234</v>
      </c>
      <c r="L558" s="134" t="s">
        <v>734</v>
      </c>
    </row>
    <row r="559" spans="1:12">
      <c r="A559" s="89">
        <v>1591</v>
      </c>
      <c r="B559" s="50">
        <v>69482</v>
      </c>
      <c r="C559" s="89">
        <v>7798159942670</v>
      </c>
      <c r="D559" s="50" t="s">
        <v>843</v>
      </c>
      <c r="E559" s="101">
        <v>18880.009999999998</v>
      </c>
      <c r="F559" s="101">
        <v>16992.008999999998</v>
      </c>
      <c r="G559" s="133">
        <v>1888.0010000000002</v>
      </c>
      <c r="H559" s="50" t="s">
        <v>17</v>
      </c>
      <c r="I559" s="50" t="s">
        <v>22</v>
      </c>
      <c r="J559" s="52">
        <v>46178</v>
      </c>
      <c r="K559" s="52">
        <v>46234</v>
      </c>
      <c r="L559" s="134" t="s">
        <v>734</v>
      </c>
    </row>
    <row r="560" spans="1:12">
      <c r="A560" s="89">
        <v>101417</v>
      </c>
      <c r="B560" s="50">
        <v>80020</v>
      </c>
      <c r="C560" s="89">
        <v>7791250001727</v>
      </c>
      <c r="D560" s="50" t="s">
        <v>844</v>
      </c>
      <c r="E560" s="101">
        <v>7477.8680000000004</v>
      </c>
      <c r="F560" s="101">
        <v>6730.0812000000005</v>
      </c>
      <c r="G560" s="133">
        <v>747.78679999999986</v>
      </c>
      <c r="H560" s="50" t="s">
        <v>17</v>
      </c>
      <c r="I560" s="50" t="s">
        <v>22</v>
      </c>
      <c r="J560" s="52">
        <v>46178</v>
      </c>
      <c r="K560" s="52">
        <v>46234</v>
      </c>
      <c r="L560" s="134" t="s">
        <v>734</v>
      </c>
    </row>
    <row r="561" spans="1:12">
      <c r="A561" s="89">
        <v>14422</v>
      </c>
      <c r="B561" s="50">
        <v>80030</v>
      </c>
      <c r="C561" s="89">
        <v>7790649000143</v>
      </c>
      <c r="D561" s="50" t="s">
        <v>845</v>
      </c>
      <c r="E561" s="101">
        <v>9737.4050000000007</v>
      </c>
      <c r="F561" s="101">
        <v>8763.6645000000008</v>
      </c>
      <c r="G561" s="133">
        <v>973.74049999999988</v>
      </c>
      <c r="H561" s="50" t="s">
        <v>17</v>
      </c>
      <c r="I561" s="50" t="s">
        <v>22</v>
      </c>
      <c r="J561" s="52">
        <v>46178</v>
      </c>
      <c r="K561" s="52">
        <v>46234</v>
      </c>
      <c r="L561" s="134" t="s">
        <v>734</v>
      </c>
    </row>
    <row r="562" spans="1:12">
      <c r="A562" s="89">
        <v>14421</v>
      </c>
      <c r="B562" s="50">
        <v>80032</v>
      </c>
      <c r="C562" s="89">
        <v>7790649000129</v>
      </c>
      <c r="D562" s="50" t="s">
        <v>846</v>
      </c>
      <c r="E562" s="101">
        <v>9737.4050000000007</v>
      </c>
      <c r="F562" s="101">
        <v>8763.6645000000008</v>
      </c>
      <c r="G562" s="133">
        <v>973.74049999999988</v>
      </c>
      <c r="H562" s="50" t="s">
        <v>17</v>
      </c>
      <c r="I562" s="50" t="s">
        <v>22</v>
      </c>
      <c r="J562" s="52">
        <v>46178</v>
      </c>
      <c r="K562" s="52">
        <v>46234</v>
      </c>
      <c r="L562" s="134" t="s">
        <v>734</v>
      </c>
    </row>
    <row r="563" spans="1:12">
      <c r="A563" s="89">
        <v>17398</v>
      </c>
      <c r="B563" s="50">
        <v>76085</v>
      </c>
      <c r="C563" s="89">
        <v>7793440003023</v>
      </c>
      <c r="D563" s="50" t="s">
        <v>847</v>
      </c>
      <c r="E563" s="101">
        <v>10337.129999999999</v>
      </c>
      <c r="F563" s="101">
        <v>9303.4169999999995</v>
      </c>
      <c r="G563" s="105">
        <v>1033.7129999999997</v>
      </c>
      <c r="H563" s="50" t="s">
        <v>17</v>
      </c>
      <c r="I563" s="50" t="s">
        <v>22</v>
      </c>
      <c r="J563" s="52">
        <v>46206</v>
      </c>
      <c r="K563" s="52">
        <v>46234</v>
      </c>
      <c r="L563" s="50" t="s">
        <v>734</v>
      </c>
    </row>
    <row r="564" spans="1:12">
      <c r="A564" s="89">
        <v>13324</v>
      </c>
      <c r="B564" s="50">
        <v>77212</v>
      </c>
      <c r="C564" s="89">
        <v>7793440703398</v>
      </c>
      <c r="D564" s="50" t="s">
        <v>848</v>
      </c>
      <c r="E564" s="101">
        <v>9636.92</v>
      </c>
      <c r="F564" s="101">
        <v>8673.228000000001</v>
      </c>
      <c r="G564" s="133">
        <v>963.6919999999991</v>
      </c>
      <c r="H564" s="50" t="s">
        <v>17</v>
      </c>
      <c r="I564" s="50" t="s">
        <v>22</v>
      </c>
      <c r="J564" s="52">
        <v>46178</v>
      </c>
      <c r="K564" s="52">
        <v>46234</v>
      </c>
      <c r="L564" s="134" t="s">
        <v>734</v>
      </c>
    </row>
    <row r="565" spans="1:12">
      <c r="A565" s="89">
        <v>65652</v>
      </c>
      <c r="B565" s="50">
        <v>76080</v>
      </c>
      <c r="C565" s="89">
        <v>7793440000022</v>
      </c>
      <c r="D565" s="50" t="s">
        <v>849</v>
      </c>
      <c r="E565" s="101">
        <v>10317.92</v>
      </c>
      <c r="F565" s="101">
        <v>9286.1280000000006</v>
      </c>
      <c r="G565" s="105">
        <v>1031.7919999999995</v>
      </c>
      <c r="H565" s="50" t="s">
        <v>17</v>
      </c>
      <c r="I565" s="50" t="s">
        <v>22</v>
      </c>
      <c r="J565" s="52">
        <v>46206</v>
      </c>
      <c r="K565" s="52">
        <v>46234</v>
      </c>
      <c r="L565" s="50" t="s">
        <v>734</v>
      </c>
    </row>
    <row r="566" spans="1:12">
      <c r="A566" s="89">
        <v>661928</v>
      </c>
      <c r="B566" s="50">
        <v>77514</v>
      </c>
      <c r="C566" s="89">
        <v>7793440002408</v>
      </c>
      <c r="D566" s="50" t="s">
        <v>850</v>
      </c>
      <c r="E566" s="101">
        <v>13394.95</v>
      </c>
      <c r="F566" s="101">
        <v>12055.455000000002</v>
      </c>
      <c r="G566" s="105">
        <v>1339.494999999999</v>
      </c>
      <c r="H566" s="50" t="s">
        <v>17</v>
      </c>
      <c r="I566" s="50" t="s">
        <v>22</v>
      </c>
      <c r="J566" s="52">
        <v>46206</v>
      </c>
      <c r="K566" s="52">
        <v>46234</v>
      </c>
      <c r="L566" s="50" t="s">
        <v>734</v>
      </c>
    </row>
    <row r="567" spans="1:12">
      <c r="A567" s="89">
        <v>660437</v>
      </c>
      <c r="B567" s="50" t="s">
        <v>851</v>
      </c>
      <c r="C567" s="89">
        <v>7798074869304</v>
      </c>
      <c r="D567" s="50" t="s">
        <v>852</v>
      </c>
      <c r="E567" s="101">
        <v>17674.04</v>
      </c>
      <c r="F567" s="101">
        <v>15906.636</v>
      </c>
      <c r="G567" s="133">
        <v>1767.4040000000005</v>
      </c>
      <c r="H567" s="50" t="s">
        <v>17</v>
      </c>
      <c r="I567" s="50" t="s">
        <v>22</v>
      </c>
      <c r="J567" s="52">
        <v>46178</v>
      </c>
      <c r="K567" s="52">
        <v>46234</v>
      </c>
      <c r="L567" s="134" t="s">
        <v>734</v>
      </c>
    </row>
    <row r="568" spans="1:12">
      <c r="A568" s="89">
        <v>660439</v>
      </c>
      <c r="B568" s="50" t="s">
        <v>853</v>
      </c>
      <c r="C568" s="89">
        <v>7798074869656</v>
      </c>
      <c r="D568" s="50" t="s">
        <v>854</v>
      </c>
      <c r="E568" s="101">
        <v>19744.650000000001</v>
      </c>
      <c r="F568" s="101">
        <v>17770.185000000001</v>
      </c>
      <c r="G568" s="133">
        <v>1974.4650000000001</v>
      </c>
      <c r="H568" s="50" t="s">
        <v>17</v>
      </c>
      <c r="I568" s="50" t="s">
        <v>22</v>
      </c>
      <c r="J568" s="52">
        <v>46178</v>
      </c>
      <c r="K568" s="52">
        <v>46234</v>
      </c>
      <c r="L568" s="134" t="s">
        <v>734</v>
      </c>
    </row>
    <row r="569" spans="1:12">
      <c r="A569" s="89">
        <v>660438</v>
      </c>
      <c r="B569" s="50" t="s">
        <v>855</v>
      </c>
      <c r="C569" s="89">
        <v>7798074869311</v>
      </c>
      <c r="D569" s="50" t="s">
        <v>856</v>
      </c>
      <c r="E569" s="101">
        <v>15381.6</v>
      </c>
      <c r="F569" s="101">
        <v>13843.44</v>
      </c>
      <c r="G569" s="133">
        <v>1538.1599999999999</v>
      </c>
      <c r="H569" s="50" t="s">
        <v>17</v>
      </c>
      <c r="I569" s="50" t="s">
        <v>22</v>
      </c>
      <c r="J569" s="52">
        <v>46178</v>
      </c>
      <c r="K569" s="52">
        <v>46234</v>
      </c>
      <c r="L569" s="134" t="s">
        <v>734</v>
      </c>
    </row>
    <row r="570" spans="1:12">
      <c r="A570" s="89">
        <v>663540</v>
      </c>
      <c r="B570" s="50">
        <v>74727</v>
      </c>
      <c r="C570" s="89">
        <v>7790240098976</v>
      </c>
      <c r="D570" s="50" t="s">
        <v>857</v>
      </c>
      <c r="E570" s="101">
        <v>6120.1509999999998</v>
      </c>
      <c r="F570" s="101">
        <v>5508.1359000000002</v>
      </c>
      <c r="G570" s="133">
        <v>612.01509999999962</v>
      </c>
      <c r="H570" s="50" t="s">
        <v>17</v>
      </c>
      <c r="I570" s="50" t="s">
        <v>22</v>
      </c>
      <c r="J570" s="52">
        <v>46178</v>
      </c>
      <c r="K570" s="52">
        <v>46234</v>
      </c>
      <c r="L570" s="134" t="s">
        <v>734</v>
      </c>
    </row>
    <row r="571" spans="1:12">
      <c r="A571" s="89">
        <v>663541</v>
      </c>
      <c r="B571" s="50">
        <v>74726</v>
      </c>
      <c r="C571" s="89">
        <v>7790240098969</v>
      </c>
      <c r="D571" s="50" t="s">
        <v>858</v>
      </c>
      <c r="E571" s="101">
        <v>6120.1509999999998</v>
      </c>
      <c r="F571" s="101">
        <v>5508.1359000000002</v>
      </c>
      <c r="G571" s="133">
        <v>612.01509999999962</v>
      </c>
      <c r="H571" s="50" t="s">
        <v>17</v>
      </c>
      <c r="I571" s="50" t="s">
        <v>22</v>
      </c>
      <c r="J571" s="52">
        <v>46178</v>
      </c>
      <c r="K571" s="52">
        <v>46234</v>
      </c>
      <c r="L571" s="134" t="s">
        <v>734</v>
      </c>
    </row>
    <row r="572" spans="1:12">
      <c r="A572" s="89">
        <v>660096</v>
      </c>
      <c r="B572" s="50">
        <v>0</v>
      </c>
      <c r="C572" s="89">
        <v>7798126083696</v>
      </c>
      <c r="D572" s="50" t="s">
        <v>859</v>
      </c>
      <c r="E572" s="101">
        <v>9555.6219999999994</v>
      </c>
      <c r="F572" s="101">
        <v>8600.0597999999991</v>
      </c>
      <c r="G572" s="133">
        <v>955.5622000000003</v>
      </c>
      <c r="H572" s="50" t="s">
        <v>17</v>
      </c>
      <c r="I572" s="50" t="s">
        <v>22</v>
      </c>
      <c r="J572" s="52">
        <v>46178</v>
      </c>
      <c r="K572" s="52">
        <v>46234</v>
      </c>
      <c r="L572" s="134" t="s">
        <v>734</v>
      </c>
    </row>
    <row r="573" spans="1:12">
      <c r="A573" s="89">
        <v>660095</v>
      </c>
      <c r="B573" s="50">
        <v>0</v>
      </c>
      <c r="C573" s="89">
        <v>7798126080534</v>
      </c>
      <c r="D573" s="50" t="s">
        <v>860</v>
      </c>
      <c r="E573" s="101">
        <v>10510.6</v>
      </c>
      <c r="F573" s="101">
        <v>9459.5400000000009</v>
      </c>
      <c r="G573" s="133">
        <v>1051.0599999999995</v>
      </c>
      <c r="H573" s="50" t="s">
        <v>17</v>
      </c>
      <c r="I573" s="50" t="s">
        <v>22</v>
      </c>
      <c r="J573" s="52">
        <v>46178</v>
      </c>
      <c r="K573" s="52">
        <v>46234</v>
      </c>
      <c r="L573" s="134" t="s">
        <v>734</v>
      </c>
    </row>
    <row r="574" spans="1:12">
      <c r="A574" s="89">
        <v>660094</v>
      </c>
      <c r="B574" s="50">
        <v>114</v>
      </c>
      <c r="C574" s="89">
        <v>7798126080954</v>
      </c>
      <c r="D574" s="50" t="s">
        <v>861</v>
      </c>
      <c r="E574" s="101">
        <v>12230.96</v>
      </c>
      <c r="F574" s="101">
        <v>11007.864</v>
      </c>
      <c r="G574" s="133">
        <v>1223.0959999999995</v>
      </c>
      <c r="H574" s="50" t="s">
        <v>17</v>
      </c>
      <c r="I574" s="50" t="s">
        <v>22</v>
      </c>
      <c r="J574" s="52">
        <v>46178</v>
      </c>
      <c r="K574" s="52">
        <v>46234</v>
      </c>
      <c r="L574" s="134" t="s">
        <v>734</v>
      </c>
    </row>
    <row r="575" spans="1:12">
      <c r="A575" s="89">
        <v>666679</v>
      </c>
      <c r="B575" s="50">
        <v>2889</v>
      </c>
      <c r="C575" s="89">
        <v>7798385680025</v>
      </c>
      <c r="D575" s="50" t="s">
        <v>862</v>
      </c>
      <c r="E575" s="101">
        <v>10718.4</v>
      </c>
      <c r="F575" s="101">
        <v>9646.56</v>
      </c>
      <c r="G575" s="133">
        <v>1071.8400000000001</v>
      </c>
      <c r="H575" s="50" t="s">
        <v>17</v>
      </c>
      <c r="I575" s="50" t="s">
        <v>22</v>
      </c>
      <c r="J575" s="52">
        <v>46178</v>
      </c>
      <c r="K575" s="52">
        <v>46234</v>
      </c>
      <c r="L575" s="134" t="s">
        <v>734</v>
      </c>
    </row>
    <row r="576" spans="1:12">
      <c r="A576" s="89">
        <v>666590</v>
      </c>
      <c r="B576" s="50">
        <v>2888</v>
      </c>
      <c r="C576" s="89">
        <v>7798385680018</v>
      </c>
      <c r="D576" s="50" t="s">
        <v>863</v>
      </c>
      <c r="E576" s="101">
        <v>10718.4</v>
      </c>
      <c r="F576" s="101">
        <v>9646.56</v>
      </c>
      <c r="G576" s="133">
        <v>1071.8400000000001</v>
      </c>
      <c r="H576" s="50" t="s">
        <v>17</v>
      </c>
      <c r="I576" s="50" t="s">
        <v>22</v>
      </c>
      <c r="J576" s="52">
        <v>46178</v>
      </c>
      <c r="K576" s="52">
        <v>46234</v>
      </c>
      <c r="L576" s="134" t="s">
        <v>734</v>
      </c>
    </row>
    <row r="577" spans="1:12">
      <c r="A577" s="89">
        <v>660392</v>
      </c>
      <c r="B577" s="50">
        <v>0</v>
      </c>
      <c r="C577" s="89">
        <v>7794450005441</v>
      </c>
      <c r="D577" s="50" t="s">
        <v>864</v>
      </c>
      <c r="E577" s="101">
        <v>15514.14</v>
      </c>
      <c r="F577" s="101">
        <v>13962.726000000001</v>
      </c>
      <c r="G577" s="133">
        <v>1551.4139999999989</v>
      </c>
      <c r="H577" s="50" t="s">
        <v>17</v>
      </c>
      <c r="I577" s="50" t="s">
        <v>22</v>
      </c>
      <c r="J577" s="52">
        <v>46178</v>
      </c>
      <c r="K577" s="52">
        <v>46234</v>
      </c>
      <c r="L577" s="134" t="s">
        <v>734</v>
      </c>
    </row>
    <row r="578" spans="1:12">
      <c r="A578" s="89">
        <v>665508</v>
      </c>
      <c r="B578" s="50">
        <v>0</v>
      </c>
      <c r="C578" s="89">
        <v>7798141180349</v>
      </c>
      <c r="D578" s="50" t="s">
        <v>865</v>
      </c>
      <c r="E578" s="101">
        <v>12526.66</v>
      </c>
      <c r="F578" s="101">
        <v>11273.994000000001</v>
      </c>
      <c r="G578" s="133">
        <v>1252.6659999999993</v>
      </c>
      <c r="H578" s="50" t="s">
        <v>17</v>
      </c>
      <c r="I578" s="50" t="s">
        <v>22</v>
      </c>
      <c r="J578" s="52">
        <v>46178</v>
      </c>
      <c r="K578" s="52">
        <v>46234</v>
      </c>
      <c r="L578" s="134" t="s">
        <v>734</v>
      </c>
    </row>
    <row r="579" spans="1:12">
      <c r="A579" s="89">
        <v>8050</v>
      </c>
      <c r="B579" s="50" t="s">
        <v>866</v>
      </c>
      <c r="C579" s="89">
        <v>7798159944322</v>
      </c>
      <c r="D579" s="50" t="s">
        <v>867</v>
      </c>
      <c r="E579" s="101">
        <v>10050</v>
      </c>
      <c r="F579" s="101">
        <v>9045</v>
      </c>
      <c r="G579" s="133">
        <v>1005</v>
      </c>
      <c r="H579" s="50" t="s">
        <v>17</v>
      </c>
      <c r="I579" s="50" t="s">
        <v>22</v>
      </c>
      <c r="J579" s="52">
        <v>46178</v>
      </c>
      <c r="K579" s="52">
        <v>46234</v>
      </c>
      <c r="L579" s="134" t="s">
        <v>734</v>
      </c>
    </row>
    <row r="580" spans="1:12">
      <c r="A580" s="89">
        <v>666474</v>
      </c>
      <c r="B580" s="50">
        <v>100199407</v>
      </c>
      <c r="C580" s="89">
        <v>7791728249149</v>
      </c>
      <c r="D580" s="50" t="s">
        <v>868</v>
      </c>
      <c r="E580" s="101">
        <v>32400</v>
      </c>
      <c r="F580" s="101">
        <v>29160</v>
      </c>
      <c r="G580" s="133">
        <v>3240</v>
      </c>
      <c r="H580" s="50" t="s">
        <v>17</v>
      </c>
      <c r="I580" s="50" t="s">
        <v>22</v>
      </c>
      <c r="J580" s="52">
        <v>46178</v>
      </c>
      <c r="K580" s="52">
        <v>46234</v>
      </c>
      <c r="L580" s="134" t="s">
        <v>734</v>
      </c>
    </row>
    <row r="581" spans="1:12">
      <c r="A581" s="89">
        <v>666477</v>
      </c>
      <c r="B581" s="50">
        <v>100199403</v>
      </c>
      <c r="C581" s="89">
        <v>7791728249101</v>
      </c>
      <c r="D581" s="50" t="s">
        <v>869</v>
      </c>
      <c r="E581" s="101">
        <v>32400</v>
      </c>
      <c r="F581" s="101">
        <v>29160</v>
      </c>
      <c r="G581" s="133">
        <v>3240</v>
      </c>
      <c r="H581" s="50" t="s">
        <v>17</v>
      </c>
      <c r="I581" s="50" t="s">
        <v>22</v>
      </c>
      <c r="J581" s="52">
        <v>46178</v>
      </c>
      <c r="K581" s="52">
        <v>46234</v>
      </c>
      <c r="L581" s="134" t="s">
        <v>734</v>
      </c>
    </row>
    <row r="582" spans="1:12">
      <c r="A582" s="89">
        <v>666476</v>
      </c>
      <c r="B582" s="50">
        <v>100194888</v>
      </c>
      <c r="C582" s="89">
        <v>7791728248067</v>
      </c>
      <c r="D582" s="50" t="s">
        <v>870</v>
      </c>
      <c r="E582" s="101">
        <v>32400</v>
      </c>
      <c r="F582" s="101">
        <v>29160</v>
      </c>
      <c r="G582" s="133">
        <v>3240</v>
      </c>
      <c r="H582" s="50" t="s">
        <v>17</v>
      </c>
      <c r="I582" s="50" t="s">
        <v>22</v>
      </c>
      <c r="J582" s="52">
        <v>46178</v>
      </c>
      <c r="K582" s="52">
        <v>46234</v>
      </c>
      <c r="L582" s="134" t="s">
        <v>734</v>
      </c>
    </row>
    <row r="583" spans="1:12">
      <c r="A583" s="89">
        <v>666475</v>
      </c>
      <c r="B583" s="50">
        <v>100195305</v>
      </c>
      <c r="C583" s="89">
        <v>7791728248128</v>
      </c>
      <c r="D583" s="50" t="s">
        <v>871</v>
      </c>
      <c r="E583" s="101">
        <v>32400</v>
      </c>
      <c r="F583" s="101">
        <v>29160</v>
      </c>
      <c r="G583" s="133">
        <v>3240</v>
      </c>
      <c r="H583" s="50" t="s">
        <v>17</v>
      </c>
      <c r="I583" s="50" t="s">
        <v>22</v>
      </c>
      <c r="J583" s="52">
        <v>46178</v>
      </c>
      <c r="K583" s="52">
        <v>46234</v>
      </c>
      <c r="L583" s="134" t="s">
        <v>734</v>
      </c>
    </row>
    <row r="584" spans="1:12">
      <c r="A584" s="89">
        <v>20504</v>
      </c>
      <c r="B584" s="50">
        <v>65094</v>
      </c>
      <c r="C584" s="89">
        <v>7798090852670</v>
      </c>
      <c r="D584" s="50" t="s">
        <v>872</v>
      </c>
      <c r="E584" s="101">
        <v>9751.68</v>
      </c>
      <c r="F584" s="101">
        <v>8776.5120000000006</v>
      </c>
      <c r="G584" s="105">
        <v>975.16799999999967</v>
      </c>
      <c r="H584" s="50" t="s">
        <v>17</v>
      </c>
      <c r="I584" s="50" t="s">
        <v>22</v>
      </c>
      <c r="J584" s="52">
        <v>46206</v>
      </c>
      <c r="K584" s="52">
        <v>46234</v>
      </c>
      <c r="L584" s="50" t="s">
        <v>734</v>
      </c>
    </row>
    <row r="585" spans="1:12">
      <c r="A585" s="89">
        <v>662933</v>
      </c>
      <c r="B585" s="50">
        <v>65108</v>
      </c>
      <c r="C585" s="89">
        <v>7790070651082</v>
      </c>
      <c r="D585" s="50" t="s">
        <v>873</v>
      </c>
      <c r="E585" s="101">
        <v>17513.599999999999</v>
      </c>
      <c r="F585" s="101">
        <v>15762.24</v>
      </c>
      <c r="G585" s="105">
        <v>1751.3599999999988</v>
      </c>
      <c r="H585" s="50" t="s">
        <v>17</v>
      </c>
      <c r="I585" s="50" t="s">
        <v>22</v>
      </c>
      <c r="J585" s="52">
        <v>46206</v>
      </c>
      <c r="K585" s="52">
        <v>46234</v>
      </c>
      <c r="L585" s="50" t="s">
        <v>734</v>
      </c>
    </row>
    <row r="586" spans="1:12">
      <c r="A586" s="89">
        <v>662932</v>
      </c>
      <c r="B586" s="50">
        <v>65104</v>
      </c>
      <c r="C586" s="89">
        <v>7790070651044</v>
      </c>
      <c r="D586" s="50" t="s">
        <v>874</v>
      </c>
      <c r="E586" s="101">
        <v>17513.599999999999</v>
      </c>
      <c r="F586" s="101">
        <v>15762.24</v>
      </c>
      <c r="G586" s="105">
        <v>1751.3599999999988</v>
      </c>
      <c r="H586" s="50" t="s">
        <v>17</v>
      </c>
      <c r="I586" s="50" t="s">
        <v>22</v>
      </c>
      <c r="J586" s="52">
        <v>46206</v>
      </c>
      <c r="K586" s="52">
        <v>46234</v>
      </c>
      <c r="L586" s="50" t="s">
        <v>734</v>
      </c>
    </row>
    <row r="587" spans="1:12">
      <c r="A587" s="89">
        <v>662931</v>
      </c>
      <c r="B587" s="50">
        <v>65094</v>
      </c>
      <c r="C587" s="89">
        <v>7790070650948</v>
      </c>
      <c r="D587" s="50" t="s">
        <v>875</v>
      </c>
      <c r="E587" s="101">
        <v>9751.68</v>
      </c>
      <c r="F587" s="101">
        <v>8776.5120000000006</v>
      </c>
      <c r="G587" s="105">
        <v>975.16799999999967</v>
      </c>
      <c r="H587" s="50" t="s">
        <v>17</v>
      </c>
      <c r="I587" s="50" t="s">
        <v>22</v>
      </c>
      <c r="J587" s="52">
        <v>46206</v>
      </c>
      <c r="K587" s="52">
        <v>46234</v>
      </c>
      <c r="L587" s="50" t="s">
        <v>734</v>
      </c>
    </row>
    <row r="588" spans="1:12">
      <c r="A588" s="89">
        <v>662930</v>
      </c>
      <c r="B588" s="50">
        <v>65106</v>
      </c>
      <c r="C588" s="89">
        <v>7790070651068</v>
      </c>
      <c r="D588" s="50" t="s">
        <v>876</v>
      </c>
      <c r="E588" s="101">
        <v>9751.68</v>
      </c>
      <c r="F588" s="101">
        <v>8776.5120000000006</v>
      </c>
      <c r="G588" s="105">
        <v>975.16799999999967</v>
      </c>
      <c r="H588" s="50" t="s">
        <v>17</v>
      </c>
      <c r="I588" s="50" t="s">
        <v>22</v>
      </c>
      <c r="J588" s="52">
        <v>46206</v>
      </c>
      <c r="K588" s="52">
        <v>46234</v>
      </c>
      <c r="L588" s="50" t="s">
        <v>734</v>
      </c>
    </row>
    <row r="589" spans="1:12">
      <c r="A589" s="89">
        <v>20502</v>
      </c>
      <c r="B589" s="50">
        <v>65106</v>
      </c>
      <c r="C589" s="89">
        <v>7798090852656</v>
      </c>
      <c r="D589" s="50" t="s">
        <v>877</v>
      </c>
      <c r="E589" s="101">
        <v>9751.68</v>
      </c>
      <c r="F589" s="101">
        <v>8776.5120000000006</v>
      </c>
      <c r="G589" s="105">
        <v>975.16799999999967</v>
      </c>
      <c r="H589" s="50" t="s">
        <v>17</v>
      </c>
      <c r="I589" s="50" t="s">
        <v>22</v>
      </c>
      <c r="J589" s="52">
        <v>46206</v>
      </c>
      <c r="K589" s="52">
        <v>46234</v>
      </c>
      <c r="L589" s="50" t="s">
        <v>734</v>
      </c>
    </row>
    <row r="590" spans="1:12">
      <c r="A590" s="89">
        <v>101324</v>
      </c>
      <c r="B590" s="50">
        <v>65108</v>
      </c>
      <c r="C590" s="89">
        <v>7798090851888</v>
      </c>
      <c r="D590" s="50" t="s">
        <v>878</v>
      </c>
      <c r="E590" s="101">
        <v>17588.009999999998</v>
      </c>
      <c r="F590" s="101">
        <v>15829.208999999999</v>
      </c>
      <c r="G590" s="105">
        <v>1758.8009999999995</v>
      </c>
      <c r="H590" s="50" t="s">
        <v>17</v>
      </c>
      <c r="I590" s="50" t="s">
        <v>22</v>
      </c>
      <c r="J590" s="52">
        <v>46206</v>
      </c>
      <c r="K590" s="52">
        <v>46234</v>
      </c>
      <c r="L590" s="50" t="s">
        <v>734</v>
      </c>
    </row>
    <row r="591" spans="1:12">
      <c r="A591" s="89">
        <v>17682</v>
      </c>
      <c r="B591" s="50">
        <v>65107</v>
      </c>
      <c r="C591" s="89">
        <v>7798090851819</v>
      </c>
      <c r="D591" s="50" t="s">
        <v>879</v>
      </c>
      <c r="E591" s="101">
        <v>17588.009999999998</v>
      </c>
      <c r="F591" s="101">
        <v>15829.208999999999</v>
      </c>
      <c r="G591" s="105">
        <v>1758.8009999999995</v>
      </c>
      <c r="H591" s="50" t="s">
        <v>17</v>
      </c>
      <c r="I591" s="50" t="s">
        <v>22</v>
      </c>
      <c r="J591" s="52">
        <v>46206</v>
      </c>
      <c r="K591" s="52">
        <v>46234</v>
      </c>
      <c r="L591" s="50" t="s">
        <v>734</v>
      </c>
    </row>
    <row r="592" spans="1:12">
      <c r="A592" s="89">
        <v>101325</v>
      </c>
      <c r="B592" s="50">
        <v>65104</v>
      </c>
      <c r="C592" s="89">
        <v>7798090851871</v>
      </c>
      <c r="D592" s="50" t="s">
        <v>880</v>
      </c>
      <c r="E592" s="101">
        <v>17588.009999999998</v>
      </c>
      <c r="F592" s="101">
        <v>15829.208999999999</v>
      </c>
      <c r="G592" s="105">
        <v>1758.8009999999995</v>
      </c>
      <c r="H592" s="50" t="s">
        <v>17</v>
      </c>
      <c r="I592" s="50" t="s">
        <v>22</v>
      </c>
      <c r="J592" s="52">
        <v>46206</v>
      </c>
      <c r="K592" s="52">
        <v>46234</v>
      </c>
      <c r="L592" s="50" t="s">
        <v>734</v>
      </c>
    </row>
    <row r="593" spans="1:12">
      <c r="A593" s="89">
        <v>665582</v>
      </c>
      <c r="B593" s="50">
        <v>21701</v>
      </c>
      <c r="C593" s="89">
        <v>7790577003117</v>
      </c>
      <c r="D593" s="50" t="s">
        <v>881</v>
      </c>
      <c r="E593" s="101">
        <v>48198.15</v>
      </c>
      <c r="F593" s="101">
        <v>43378.334999999999</v>
      </c>
      <c r="G593" s="133">
        <v>4819.8150000000023</v>
      </c>
      <c r="H593" s="50" t="s">
        <v>17</v>
      </c>
      <c r="I593" s="50" t="s">
        <v>22</v>
      </c>
      <c r="J593" s="52">
        <v>46178</v>
      </c>
      <c r="K593" s="52">
        <v>46234</v>
      </c>
      <c r="L593" s="134" t="s">
        <v>734</v>
      </c>
    </row>
    <row r="594" spans="1:12">
      <c r="A594" s="89">
        <v>13031</v>
      </c>
      <c r="B594" s="50">
        <v>21309</v>
      </c>
      <c r="C594" s="89">
        <v>7790577039994</v>
      </c>
      <c r="D594" s="50" t="s">
        <v>882</v>
      </c>
      <c r="E594" s="101">
        <v>18654.099999999999</v>
      </c>
      <c r="F594" s="101">
        <v>16788.689999999999</v>
      </c>
      <c r="G594" s="133">
        <v>1865.4099999999999</v>
      </c>
      <c r="H594" s="50" t="s">
        <v>17</v>
      </c>
      <c r="I594" s="50" t="s">
        <v>22</v>
      </c>
      <c r="J594" s="52">
        <v>46178</v>
      </c>
      <c r="K594" s="52">
        <v>46234</v>
      </c>
      <c r="L594" s="134" t="s">
        <v>734</v>
      </c>
    </row>
    <row r="595" spans="1:12">
      <c r="A595" s="89">
        <v>3240</v>
      </c>
      <c r="B595" s="50">
        <v>10101</v>
      </c>
      <c r="C595" s="89">
        <v>7790577000369</v>
      </c>
      <c r="D595" s="50" t="s">
        <v>883</v>
      </c>
      <c r="E595" s="101">
        <v>5393.9989999999998</v>
      </c>
      <c r="F595" s="101">
        <v>4854.5991000000004</v>
      </c>
      <c r="G595" s="133">
        <v>539.39989999999943</v>
      </c>
      <c r="H595" s="50" t="s">
        <v>17</v>
      </c>
      <c r="I595" s="50" t="s">
        <v>22</v>
      </c>
      <c r="J595" s="52">
        <v>46178</v>
      </c>
      <c r="K595" s="52">
        <v>46234</v>
      </c>
      <c r="L595" s="134" t="s">
        <v>734</v>
      </c>
    </row>
    <row r="596" spans="1:12">
      <c r="A596" s="89">
        <v>10185</v>
      </c>
      <c r="B596" s="50">
        <v>28301</v>
      </c>
      <c r="C596" s="89">
        <v>7790577039666</v>
      </c>
      <c r="D596" s="50" t="s">
        <v>884</v>
      </c>
      <c r="E596" s="101">
        <v>4784.9930000000004</v>
      </c>
      <c r="F596" s="101">
        <v>4306.4937000000009</v>
      </c>
      <c r="G596" s="133">
        <v>478.49929999999949</v>
      </c>
      <c r="H596" s="50" t="s">
        <v>17</v>
      </c>
      <c r="I596" s="50" t="s">
        <v>22</v>
      </c>
      <c r="J596" s="52">
        <v>46178</v>
      </c>
      <c r="K596" s="52">
        <v>46234</v>
      </c>
      <c r="L596" s="134" t="s">
        <v>734</v>
      </c>
    </row>
    <row r="597" spans="1:12">
      <c r="A597" s="89">
        <v>12036</v>
      </c>
      <c r="B597" s="50">
        <v>18801</v>
      </c>
      <c r="C597" s="89">
        <v>7790577039598</v>
      </c>
      <c r="D597" s="50" t="s">
        <v>885</v>
      </c>
      <c r="E597" s="101">
        <v>4784.9930000000004</v>
      </c>
      <c r="F597" s="101">
        <v>4306.4937000000009</v>
      </c>
      <c r="G597" s="133">
        <v>478.49929999999949</v>
      </c>
      <c r="H597" s="50" t="s">
        <v>17</v>
      </c>
      <c r="I597" s="50" t="s">
        <v>22</v>
      </c>
      <c r="J597" s="52">
        <v>46178</v>
      </c>
      <c r="K597" s="52">
        <v>46234</v>
      </c>
      <c r="L597" s="134" t="s">
        <v>734</v>
      </c>
    </row>
    <row r="598" spans="1:12">
      <c r="A598" s="89">
        <v>2137</v>
      </c>
      <c r="B598" s="50">
        <v>23063</v>
      </c>
      <c r="C598" s="89">
        <v>7798159944339</v>
      </c>
      <c r="D598" s="50" t="s">
        <v>886</v>
      </c>
      <c r="E598" s="101">
        <v>13650</v>
      </c>
      <c r="F598" s="101">
        <v>12285</v>
      </c>
      <c r="G598" s="133">
        <v>1365</v>
      </c>
      <c r="H598" s="50" t="s">
        <v>17</v>
      </c>
      <c r="I598" s="50" t="s">
        <v>22</v>
      </c>
      <c r="J598" s="52">
        <v>46178</v>
      </c>
      <c r="K598" s="52">
        <v>46234</v>
      </c>
      <c r="L598" s="134" t="s">
        <v>734</v>
      </c>
    </row>
    <row r="599" spans="1:12">
      <c r="A599" s="89">
        <v>663281</v>
      </c>
      <c r="B599" s="50" t="s">
        <v>887</v>
      </c>
      <c r="C599" s="89">
        <v>7794450940384</v>
      </c>
      <c r="D599" s="50" t="s">
        <v>888</v>
      </c>
      <c r="E599" s="101">
        <v>25470</v>
      </c>
      <c r="F599" s="101">
        <v>22923</v>
      </c>
      <c r="G599" s="133">
        <v>2547</v>
      </c>
      <c r="H599" s="50" t="s">
        <v>17</v>
      </c>
      <c r="I599" s="50" t="s">
        <v>22</v>
      </c>
      <c r="J599" s="52">
        <v>46178</v>
      </c>
      <c r="K599" s="52">
        <v>46234</v>
      </c>
      <c r="L599" s="134" t="s">
        <v>734</v>
      </c>
    </row>
    <row r="600" spans="1:12">
      <c r="A600" s="89">
        <v>12035</v>
      </c>
      <c r="B600" s="50" t="s">
        <v>889</v>
      </c>
      <c r="C600" s="89">
        <v>7794450002549</v>
      </c>
      <c r="D600" s="50" t="s">
        <v>890</v>
      </c>
      <c r="E600" s="101">
        <v>15209.99</v>
      </c>
      <c r="F600" s="101">
        <v>13688.991</v>
      </c>
      <c r="G600" s="133">
        <v>1520.9989999999998</v>
      </c>
      <c r="H600" s="50" t="s">
        <v>17</v>
      </c>
      <c r="I600" s="50" t="s">
        <v>22</v>
      </c>
      <c r="J600" s="52">
        <v>46178</v>
      </c>
      <c r="K600" s="52">
        <v>46234</v>
      </c>
      <c r="L600" s="134" t="s">
        <v>734</v>
      </c>
    </row>
    <row r="601" spans="1:12">
      <c r="A601" s="89">
        <v>664058</v>
      </c>
      <c r="B601" s="50" t="s">
        <v>891</v>
      </c>
      <c r="C601" s="89">
        <v>7794450943170</v>
      </c>
      <c r="D601" s="50" t="s">
        <v>892</v>
      </c>
      <c r="E601" s="101">
        <v>15209.99</v>
      </c>
      <c r="F601" s="101">
        <v>13688.991</v>
      </c>
      <c r="G601" s="133">
        <v>1520.9989999999998</v>
      </c>
      <c r="H601" s="50" t="s">
        <v>17</v>
      </c>
      <c r="I601" s="50" t="s">
        <v>22</v>
      </c>
      <c r="J601" s="52">
        <v>46178</v>
      </c>
      <c r="K601" s="52">
        <v>46234</v>
      </c>
      <c r="L601" s="134" t="s">
        <v>734</v>
      </c>
    </row>
    <row r="602" spans="1:12">
      <c r="A602" s="89">
        <v>664061</v>
      </c>
      <c r="B602" s="50" t="s">
        <v>893</v>
      </c>
      <c r="C602" s="89">
        <v>6640611111111</v>
      </c>
      <c r="D602" s="50" t="s">
        <v>894</v>
      </c>
      <c r="E602" s="101">
        <v>29960.34</v>
      </c>
      <c r="F602" s="101">
        <v>26964.306</v>
      </c>
      <c r="G602" s="133">
        <v>2996.0339999999997</v>
      </c>
      <c r="H602" s="50" t="s">
        <v>17</v>
      </c>
      <c r="I602" s="50" t="s">
        <v>22</v>
      </c>
      <c r="J602" s="52">
        <v>46178</v>
      </c>
      <c r="K602" s="52">
        <v>46234</v>
      </c>
      <c r="L602" s="134" t="s">
        <v>734</v>
      </c>
    </row>
    <row r="603" spans="1:12">
      <c r="A603" s="89">
        <v>1030</v>
      </c>
      <c r="B603" s="50">
        <v>20250</v>
      </c>
      <c r="C603" s="89">
        <v>7790704167644</v>
      </c>
      <c r="D603" s="50" t="s">
        <v>895</v>
      </c>
      <c r="E603" s="101">
        <v>3445.538</v>
      </c>
      <c r="F603" s="101">
        <v>3100.9841999999999</v>
      </c>
      <c r="G603" s="133">
        <v>344.55380000000014</v>
      </c>
      <c r="H603" s="50" t="s">
        <v>17</v>
      </c>
      <c r="I603" s="50" t="s">
        <v>22</v>
      </c>
      <c r="J603" s="52">
        <v>46178</v>
      </c>
      <c r="K603" s="52">
        <v>46234</v>
      </c>
      <c r="L603" s="134" t="s">
        <v>734</v>
      </c>
    </row>
    <row r="604" spans="1:12">
      <c r="A604" s="89">
        <v>659868</v>
      </c>
      <c r="B604" s="50">
        <v>74664</v>
      </c>
      <c r="C604" s="89">
        <v>7790240198171</v>
      </c>
      <c r="D604" s="50" t="s">
        <v>896</v>
      </c>
      <c r="E604" s="101">
        <v>9624.1720000000005</v>
      </c>
      <c r="F604" s="101">
        <v>8661.7548000000006</v>
      </c>
      <c r="G604" s="133">
        <v>962.41719999999987</v>
      </c>
      <c r="H604" s="50" t="s">
        <v>17</v>
      </c>
      <c r="I604" s="50" t="s">
        <v>22</v>
      </c>
      <c r="J604" s="52">
        <v>46178</v>
      </c>
      <c r="K604" s="52">
        <v>46234</v>
      </c>
      <c r="L604" s="134" t="s">
        <v>734</v>
      </c>
    </row>
    <row r="605" spans="1:12">
      <c r="A605" s="89">
        <v>20056</v>
      </c>
      <c r="B605" s="50">
        <v>74556</v>
      </c>
      <c r="C605" s="89">
        <v>7790240196771</v>
      </c>
      <c r="D605" s="50" t="s">
        <v>897</v>
      </c>
      <c r="E605" s="101">
        <v>9624.1720000000005</v>
      </c>
      <c r="F605" s="101">
        <v>8661.7548000000006</v>
      </c>
      <c r="G605" s="133">
        <v>962.41719999999987</v>
      </c>
      <c r="H605" s="50" t="s">
        <v>17</v>
      </c>
      <c r="I605" s="50" t="s">
        <v>22</v>
      </c>
      <c r="J605" s="52">
        <v>46178</v>
      </c>
      <c r="K605" s="52">
        <v>46234</v>
      </c>
      <c r="L605" s="134" t="s">
        <v>734</v>
      </c>
    </row>
    <row r="606" spans="1:12">
      <c r="A606" s="89">
        <v>659869</v>
      </c>
      <c r="B606" s="50">
        <v>74663</v>
      </c>
      <c r="C606" s="89">
        <v>7790240198188</v>
      </c>
      <c r="D606" s="50" t="s">
        <v>898</v>
      </c>
      <c r="E606" s="101">
        <v>9624.1720000000005</v>
      </c>
      <c r="F606" s="101">
        <v>8661.7548000000006</v>
      </c>
      <c r="G606" s="133">
        <v>962.41719999999987</v>
      </c>
      <c r="H606" s="50" t="s">
        <v>17</v>
      </c>
      <c r="I606" s="50" t="s">
        <v>22</v>
      </c>
      <c r="J606" s="52">
        <v>46178</v>
      </c>
      <c r="K606" s="52">
        <v>46234</v>
      </c>
      <c r="L606" s="134" t="s">
        <v>734</v>
      </c>
    </row>
    <row r="607" spans="1:12">
      <c r="A607" s="89">
        <v>1210</v>
      </c>
      <c r="B607" s="50">
        <v>74555</v>
      </c>
      <c r="C607" s="89">
        <v>7790240096767</v>
      </c>
      <c r="D607" s="50" t="s">
        <v>899</v>
      </c>
      <c r="E607" s="101">
        <v>9624.1720000000005</v>
      </c>
      <c r="F607" s="101">
        <v>8661.7548000000006</v>
      </c>
      <c r="G607" s="133">
        <v>962.41719999999987</v>
      </c>
      <c r="H607" s="50" t="s">
        <v>17</v>
      </c>
      <c r="I607" s="50" t="s">
        <v>22</v>
      </c>
      <c r="J607" s="52">
        <v>46178</v>
      </c>
      <c r="K607" s="52">
        <v>46234</v>
      </c>
      <c r="L607" s="134" t="s">
        <v>734</v>
      </c>
    </row>
    <row r="608" spans="1:12">
      <c r="A608" s="89">
        <v>6602</v>
      </c>
      <c r="B608" s="50">
        <v>27903</v>
      </c>
      <c r="C608" s="89">
        <v>7790577040617</v>
      </c>
      <c r="D608" s="50" t="s">
        <v>900</v>
      </c>
      <c r="E608" s="101">
        <v>12354</v>
      </c>
      <c r="F608" s="101">
        <v>11118.6</v>
      </c>
      <c r="G608" s="133">
        <v>1235.3999999999996</v>
      </c>
      <c r="H608" s="50" t="s">
        <v>17</v>
      </c>
      <c r="I608" s="50" t="s">
        <v>22</v>
      </c>
      <c r="J608" s="52">
        <v>46178</v>
      </c>
      <c r="K608" s="52">
        <v>46234</v>
      </c>
      <c r="L608" s="134" t="s">
        <v>734</v>
      </c>
    </row>
    <row r="609" spans="1:12">
      <c r="A609" s="89">
        <v>9838</v>
      </c>
      <c r="B609" s="50">
        <v>37901</v>
      </c>
      <c r="C609" s="89">
        <v>7790577040990</v>
      </c>
      <c r="D609" s="50" t="s">
        <v>901</v>
      </c>
      <c r="E609" s="101">
        <v>12354</v>
      </c>
      <c r="F609" s="101">
        <v>11118.6</v>
      </c>
      <c r="G609" s="133">
        <v>1235.3999999999996</v>
      </c>
      <c r="H609" s="50" t="s">
        <v>17</v>
      </c>
      <c r="I609" s="50" t="s">
        <v>22</v>
      </c>
      <c r="J609" s="52">
        <v>46178</v>
      </c>
      <c r="K609" s="52">
        <v>46234</v>
      </c>
      <c r="L609" s="134" t="s">
        <v>734</v>
      </c>
    </row>
    <row r="610" spans="1:12">
      <c r="A610" s="89">
        <v>10320</v>
      </c>
      <c r="B610" s="50">
        <v>1915</v>
      </c>
      <c r="C610" s="89">
        <v>7794450092014</v>
      </c>
      <c r="D610" s="50" t="s">
        <v>902</v>
      </c>
      <c r="E610" s="101">
        <v>6375.0060000000003</v>
      </c>
      <c r="F610" s="101">
        <v>5737.5054</v>
      </c>
      <c r="G610" s="133">
        <v>637.5006000000003</v>
      </c>
      <c r="H610" s="50" t="s">
        <v>17</v>
      </c>
      <c r="I610" s="50" t="s">
        <v>22</v>
      </c>
      <c r="J610" s="52">
        <v>46178</v>
      </c>
      <c r="K610" s="52">
        <v>46234</v>
      </c>
      <c r="L610" s="134" t="s">
        <v>734</v>
      </c>
    </row>
    <row r="611" spans="1:12">
      <c r="A611" s="89">
        <v>660735</v>
      </c>
      <c r="B611" s="50">
        <v>1927</v>
      </c>
      <c r="C611" s="89">
        <v>7794450004635</v>
      </c>
      <c r="D611" s="50" t="s">
        <v>903</v>
      </c>
      <c r="E611" s="101">
        <v>6375.0060000000003</v>
      </c>
      <c r="F611" s="101">
        <v>5737.5054</v>
      </c>
      <c r="G611" s="133">
        <v>637.5006000000003</v>
      </c>
      <c r="H611" s="50" t="s">
        <v>17</v>
      </c>
      <c r="I611" s="50" t="s">
        <v>22</v>
      </c>
      <c r="J611" s="52">
        <v>46178</v>
      </c>
      <c r="K611" s="52">
        <v>46234</v>
      </c>
      <c r="L611" s="134" t="s">
        <v>734</v>
      </c>
    </row>
    <row r="612" spans="1:12">
      <c r="A612" s="89">
        <v>660736</v>
      </c>
      <c r="B612" s="50">
        <v>1924</v>
      </c>
      <c r="C612" s="89">
        <v>7794450004024</v>
      </c>
      <c r="D612" s="50" t="s">
        <v>904</v>
      </c>
      <c r="E612" s="101">
        <v>6375.0060000000003</v>
      </c>
      <c r="F612" s="101">
        <v>5737.5054</v>
      </c>
      <c r="G612" s="133">
        <v>637.5006000000003</v>
      </c>
      <c r="H612" s="50" t="s">
        <v>17</v>
      </c>
      <c r="I612" s="50" t="s">
        <v>22</v>
      </c>
      <c r="J612" s="52">
        <v>46178</v>
      </c>
      <c r="K612" s="52">
        <v>46234</v>
      </c>
      <c r="L612" s="134" t="s">
        <v>734</v>
      </c>
    </row>
    <row r="613" spans="1:12">
      <c r="A613" s="89">
        <v>664832</v>
      </c>
      <c r="B613" s="50">
        <v>24657910</v>
      </c>
      <c r="C613" s="89">
        <v>7798000212655</v>
      </c>
      <c r="D613" s="50" t="s">
        <v>905</v>
      </c>
      <c r="E613" s="101">
        <v>11887.96</v>
      </c>
      <c r="F613" s="101">
        <v>10699.163999999999</v>
      </c>
      <c r="G613" s="133">
        <v>1188.7960000000003</v>
      </c>
      <c r="H613" s="50" t="s">
        <v>17</v>
      </c>
      <c r="I613" s="50" t="s">
        <v>22</v>
      </c>
      <c r="J613" s="52">
        <v>46178</v>
      </c>
      <c r="K613" s="52">
        <v>46234</v>
      </c>
      <c r="L613" s="134" t="s">
        <v>734</v>
      </c>
    </row>
    <row r="614" spans="1:12">
      <c r="A614" s="89">
        <v>15070</v>
      </c>
      <c r="B614" s="50">
        <v>100187443</v>
      </c>
      <c r="C614" s="89">
        <v>7791728018882</v>
      </c>
      <c r="D614" s="50" t="s">
        <v>906</v>
      </c>
      <c r="E614" s="101">
        <v>22619.99</v>
      </c>
      <c r="F614" s="101">
        <v>20357.991000000002</v>
      </c>
      <c r="G614" s="133">
        <v>2261.9989999999998</v>
      </c>
      <c r="H614" s="50" t="s">
        <v>17</v>
      </c>
      <c r="I614" s="50" t="s">
        <v>22</v>
      </c>
      <c r="J614" s="52">
        <v>46178</v>
      </c>
      <c r="K614" s="52">
        <v>46234</v>
      </c>
      <c r="L614" s="134" t="s">
        <v>734</v>
      </c>
    </row>
    <row r="615" spans="1:12">
      <c r="A615" s="89">
        <v>15065</v>
      </c>
      <c r="B615" s="50">
        <v>100187853</v>
      </c>
      <c r="C615" s="89">
        <v>7791728001082</v>
      </c>
      <c r="D615" s="50" t="s">
        <v>907</v>
      </c>
      <c r="E615" s="101">
        <v>22619.99</v>
      </c>
      <c r="F615" s="101">
        <v>20357.991000000002</v>
      </c>
      <c r="G615" s="133">
        <v>2261.9989999999998</v>
      </c>
      <c r="H615" s="50" t="s">
        <v>17</v>
      </c>
      <c r="I615" s="50" t="s">
        <v>22</v>
      </c>
      <c r="J615" s="52">
        <v>46178</v>
      </c>
      <c r="K615" s="52">
        <v>46234</v>
      </c>
      <c r="L615" s="134" t="s">
        <v>734</v>
      </c>
    </row>
    <row r="616" spans="1:12">
      <c r="A616" s="89">
        <v>14920</v>
      </c>
      <c r="B616" s="50">
        <v>100198776</v>
      </c>
      <c r="C616" s="89">
        <v>7791728000962</v>
      </c>
      <c r="D616" s="50" t="s">
        <v>908</v>
      </c>
      <c r="E616" s="101">
        <v>22619.99</v>
      </c>
      <c r="F616" s="101">
        <v>20357.991000000002</v>
      </c>
      <c r="G616" s="133">
        <v>2261.9989999999998</v>
      </c>
      <c r="H616" s="50" t="s">
        <v>17</v>
      </c>
      <c r="I616" s="50" t="s">
        <v>22</v>
      </c>
      <c r="J616" s="52">
        <v>46178</v>
      </c>
      <c r="K616" s="52">
        <v>46234</v>
      </c>
      <c r="L616" s="134" t="s">
        <v>734</v>
      </c>
    </row>
    <row r="617" spans="1:12">
      <c r="A617" s="89">
        <v>666569</v>
      </c>
      <c r="B617" s="50">
        <v>100117551</v>
      </c>
      <c r="C617" s="89">
        <v>7791728004298</v>
      </c>
      <c r="D617" s="50" t="s">
        <v>909</v>
      </c>
      <c r="E617" s="101">
        <v>14790</v>
      </c>
      <c r="F617" s="101">
        <v>13311</v>
      </c>
      <c r="G617" s="133">
        <v>1479</v>
      </c>
      <c r="H617" s="50" t="s">
        <v>17</v>
      </c>
      <c r="I617" s="50" t="s">
        <v>22</v>
      </c>
      <c r="J617" s="52">
        <v>46178</v>
      </c>
      <c r="K617" s="52">
        <v>46234</v>
      </c>
      <c r="L617" s="134" t="s">
        <v>734</v>
      </c>
    </row>
    <row r="618" spans="1:12">
      <c r="A618" s="89">
        <v>663169</v>
      </c>
      <c r="B618" s="50">
        <v>100105521</v>
      </c>
      <c r="C618" s="89">
        <v>7791728020755</v>
      </c>
      <c r="D618" s="50" t="s">
        <v>910</v>
      </c>
      <c r="E618" s="101">
        <v>21170.01</v>
      </c>
      <c r="F618" s="101">
        <v>19053.008999999998</v>
      </c>
      <c r="G618" s="133">
        <v>2117.0010000000002</v>
      </c>
      <c r="H618" s="50" t="s">
        <v>17</v>
      </c>
      <c r="I618" s="50" t="s">
        <v>22</v>
      </c>
      <c r="J618" s="52">
        <v>46178</v>
      </c>
      <c r="K618" s="52">
        <v>46234</v>
      </c>
      <c r="L618" s="134" t="s">
        <v>734</v>
      </c>
    </row>
    <row r="619" spans="1:12">
      <c r="A619" s="89">
        <v>663168</v>
      </c>
      <c r="B619" s="50">
        <v>100105535</v>
      </c>
      <c r="C619" s="89">
        <v>7791728020748</v>
      </c>
      <c r="D619" s="50" t="s">
        <v>911</v>
      </c>
      <c r="E619" s="101">
        <v>21170.01</v>
      </c>
      <c r="F619" s="101">
        <v>19053.008999999998</v>
      </c>
      <c r="G619" s="105">
        <v>2117.0010000000002</v>
      </c>
      <c r="H619" s="50" t="s">
        <v>17</v>
      </c>
      <c r="I619" s="50" t="s">
        <v>22</v>
      </c>
      <c r="J619" s="52">
        <v>46178</v>
      </c>
      <c r="K619" s="52">
        <v>46234</v>
      </c>
      <c r="L619" s="134" t="s">
        <v>734</v>
      </c>
    </row>
    <row r="620" spans="1:12">
      <c r="A620" s="89">
        <v>7611</v>
      </c>
      <c r="B620" s="50">
        <v>76099</v>
      </c>
      <c r="C620" s="89">
        <v>7793440002194</v>
      </c>
      <c r="D620" s="50" t="s">
        <v>912</v>
      </c>
      <c r="E620" s="101">
        <v>11538.79</v>
      </c>
      <c r="F620" s="101">
        <v>9807.9714999999997</v>
      </c>
      <c r="G620" s="105">
        <v>1730.8185000000012</v>
      </c>
      <c r="H620" s="50" t="s">
        <v>17</v>
      </c>
      <c r="I620" s="50" t="s">
        <v>69</v>
      </c>
      <c r="J620" s="52">
        <v>46206</v>
      </c>
      <c r="K620" s="52">
        <v>46234</v>
      </c>
      <c r="L620" s="134" t="s">
        <v>734</v>
      </c>
    </row>
    <row r="621" spans="1:12">
      <c r="A621" s="89">
        <v>662570</v>
      </c>
      <c r="B621" s="50">
        <v>100333026</v>
      </c>
      <c r="C621" s="89">
        <v>7791728234589</v>
      </c>
      <c r="D621" s="50" t="s">
        <v>913</v>
      </c>
      <c r="E621" s="101">
        <v>14616</v>
      </c>
      <c r="F621" s="101">
        <v>12423.6</v>
      </c>
      <c r="G621" s="133">
        <v>2192.3999999999996</v>
      </c>
      <c r="H621" s="50" t="s">
        <v>17</v>
      </c>
      <c r="I621" s="50" t="s">
        <v>69</v>
      </c>
      <c r="J621" s="52">
        <v>46178</v>
      </c>
      <c r="K621" s="52">
        <v>46234</v>
      </c>
      <c r="L621" s="134" t="s">
        <v>734</v>
      </c>
    </row>
    <row r="622" spans="1:12">
      <c r="A622" s="89">
        <v>662571</v>
      </c>
      <c r="B622" s="50">
        <v>100333019</v>
      </c>
      <c r="C622" s="89">
        <v>7791728234602</v>
      </c>
      <c r="D622" s="50" t="s">
        <v>914</v>
      </c>
      <c r="E622" s="101">
        <v>14616</v>
      </c>
      <c r="F622" s="101">
        <v>12423.6</v>
      </c>
      <c r="G622" s="133">
        <v>2192.3999999999996</v>
      </c>
      <c r="H622" s="50" t="s">
        <v>17</v>
      </c>
      <c r="I622" s="50" t="s">
        <v>69</v>
      </c>
      <c r="J622" s="52">
        <v>46178</v>
      </c>
      <c r="K622" s="52">
        <v>46234</v>
      </c>
      <c r="L622" s="134" t="s">
        <v>734</v>
      </c>
    </row>
    <row r="623" spans="1:12">
      <c r="A623" s="89">
        <v>660093</v>
      </c>
      <c r="B623" s="50">
        <v>0</v>
      </c>
      <c r="C623" s="89">
        <v>7798126082903</v>
      </c>
      <c r="D623" s="50" t="s">
        <v>915</v>
      </c>
      <c r="E623" s="101">
        <v>40600.18</v>
      </c>
      <c r="F623" s="101">
        <v>34510.152999999998</v>
      </c>
      <c r="G623" s="133">
        <v>6090.0270000000019</v>
      </c>
      <c r="H623" s="50" t="s">
        <v>17</v>
      </c>
      <c r="I623" s="50" t="s">
        <v>69</v>
      </c>
      <c r="J623" s="52">
        <v>46178</v>
      </c>
      <c r="K623" s="52">
        <v>46234</v>
      </c>
      <c r="L623" s="134" t="s">
        <v>734</v>
      </c>
    </row>
    <row r="624" spans="1:12">
      <c r="A624" s="89">
        <v>660092</v>
      </c>
      <c r="B624" s="50">
        <v>0</v>
      </c>
      <c r="C624" s="89">
        <v>7798126082675</v>
      </c>
      <c r="D624" s="50" t="s">
        <v>916</v>
      </c>
      <c r="E624" s="101">
        <v>36539.919999999998</v>
      </c>
      <c r="F624" s="101">
        <v>31058.931999999997</v>
      </c>
      <c r="G624" s="133">
        <v>5480.9880000000012</v>
      </c>
      <c r="H624" s="50" t="s">
        <v>17</v>
      </c>
      <c r="I624" s="50" t="s">
        <v>69</v>
      </c>
      <c r="J624" s="52">
        <v>46178</v>
      </c>
      <c r="K624" s="52">
        <v>46234</v>
      </c>
      <c r="L624" s="134" t="s">
        <v>734</v>
      </c>
    </row>
    <row r="625" spans="1:12">
      <c r="A625" s="89">
        <v>662516</v>
      </c>
      <c r="B625" s="50" t="s">
        <v>917</v>
      </c>
      <c r="C625" s="89">
        <v>7798074863609</v>
      </c>
      <c r="D625" s="50" t="s">
        <v>918</v>
      </c>
      <c r="E625" s="101">
        <v>19966.509999999998</v>
      </c>
      <c r="F625" s="101">
        <v>16971.533499999998</v>
      </c>
      <c r="G625" s="133">
        <v>2994.9765000000007</v>
      </c>
      <c r="H625" s="50" t="s">
        <v>17</v>
      </c>
      <c r="I625" s="50" t="s">
        <v>69</v>
      </c>
      <c r="J625" s="52">
        <v>46178</v>
      </c>
      <c r="K625" s="52">
        <v>46234</v>
      </c>
      <c r="L625" s="134" t="s">
        <v>734</v>
      </c>
    </row>
    <row r="626" spans="1:12">
      <c r="A626" s="89">
        <v>662260</v>
      </c>
      <c r="B626" s="50" t="s">
        <v>919</v>
      </c>
      <c r="C626" s="89">
        <v>7798074864071</v>
      </c>
      <c r="D626" s="50" t="s">
        <v>920</v>
      </c>
      <c r="E626" s="101">
        <v>20706</v>
      </c>
      <c r="F626" s="101">
        <v>17600.099999999999</v>
      </c>
      <c r="G626" s="133">
        <v>3105.9000000000015</v>
      </c>
      <c r="H626" s="50" t="s">
        <v>17</v>
      </c>
      <c r="I626" s="50" t="s">
        <v>69</v>
      </c>
      <c r="J626" s="52">
        <v>46178</v>
      </c>
      <c r="K626" s="52">
        <v>46234</v>
      </c>
      <c r="L626" s="134" t="s">
        <v>734</v>
      </c>
    </row>
    <row r="627" spans="1:12">
      <c r="A627" s="89">
        <v>666116</v>
      </c>
      <c r="B627" s="50">
        <v>0</v>
      </c>
      <c r="C627" s="89">
        <v>7798126082927</v>
      </c>
      <c r="D627" s="50" t="s">
        <v>921</v>
      </c>
      <c r="E627" s="101">
        <v>16182.11</v>
      </c>
      <c r="F627" s="101">
        <v>13754.7935</v>
      </c>
      <c r="G627" s="133">
        <v>2427.3165000000008</v>
      </c>
      <c r="H627" s="50" t="s">
        <v>17</v>
      </c>
      <c r="I627" s="50" t="s">
        <v>69</v>
      </c>
      <c r="J627" s="52">
        <v>46178</v>
      </c>
      <c r="K627" s="52">
        <v>46234</v>
      </c>
      <c r="L627" s="134" t="s">
        <v>734</v>
      </c>
    </row>
    <row r="628" spans="1:12">
      <c r="A628" s="89">
        <v>14068</v>
      </c>
      <c r="B628" s="50" t="s">
        <v>922</v>
      </c>
      <c r="C628" s="89">
        <v>7798111990497</v>
      </c>
      <c r="D628" s="50" t="s">
        <v>923</v>
      </c>
      <c r="E628" s="101">
        <v>19574.96</v>
      </c>
      <c r="F628" s="101">
        <v>16638.716</v>
      </c>
      <c r="G628" s="133">
        <v>2936.2439999999988</v>
      </c>
      <c r="H628" s="50" t="s">
        <v>17</v>
      </c>
      <c r="I628" s="50" t="s">
        <v>69</v>
      </c>
      <c r="J628" s="52">
        <v>46178</v>
      </c>
      <c r="K628" s="52">
        <v>46234</v>
      </c>
      <c r="L628" s="134" t="s">
        <v>734</v>
      </c>
    </row>
    <row r="629" spans="1:12">
      <c r="A629" s="89">
        <v>4887</v>
      </c>
      <c r="B629" s="50">
        <v>5262</v>
      </c>
      <c r="C629" s="89">
        <v>7798116191691</v>
      </c>
      <c r="D629" s="50" t="s">
        <v>924</v>
      </c>
      <c r="E629" s="101">
        <v>9725.1229999999996</v>
      </c>
      <c r="F629" s="101">
        <v>8266.35455</v>
      </c>
      <c r="G629" s="133">
        <v>1458.7684499999996</v>
      </c>
      <c r="H629" s="50" t="s">
        <v>17</v>
      </c>
      <c r="I629" s="50" t="s">
        <v>69</v>
      </c>
      <c r="J629" s="52">
        <v>46178</v>
      </c>
      <c r="K629" s="52">
        <v>46234</v>
      </c>
      <c r="L629" s="134" t="s">
        <v>734</v>
      </c>
    </row>
    <row r="630" spans="1:12">
      <c r="A630" s="89">
        <v>13034</v>
      </c>
      <c r="B630" s="50">
        <v>33608</v>
      </c>
      <c r="C630" s="89">
        <v>7790314005145</v>
      </c>
      <c r="D630" s="50" t="s">
        <v>925</v>
      </c>
      <c r="E630" s="101">
        <v>5507.2169999999996</v>
      </c>
      <c r="F630" s="101">
        <v>4681.1344499999996</v>
      </c>
      <c r="G630" s="133">
        <v>826.08255000000008</v>
      </c>
      <c r="H630" s="50" t="s">
        <v>17</v>
      </c>
      <c r="I630" s="50" t="s">
        <v>69</v>
      </c>
      <c r="J630" s="52">
        <v>46178</v>
      </c>
      <c r="K630" s="52">
        <v>46234</v>
      </c>
      <c r="L630" s="134" t="s">
        <v>734</v>
      </c>
    </row>
    <row r="631" spans="1:12">
      <c r="A631" s="89">
        <v>665584</v>
      </c>
      <c r="B631" s="50">
        <v>46342</v>
      </c>
      <c r="C631" s="89">
        <v>7790577043557</v>
      </c>
      <c r="D631" s="50" t="s">
        <v>926</v>
      </c>
      <c r="E631" s="101">
        <v>38642.49</v>
      </c>
      <c r="F631" s="101">
        <v>32846.116499999996</v>
      </c>
      <c r="G631" s="133">
        <v>5796.3735000000015</v>
      </c>
      <c r="H631" s="50" t="s">
        <v>17</v>
      </c>
      <c r="I631" s="50" t="s">
        <v>69</v>
      </c>
      <c r="J631" s="52">
        <v>46178</v>
      </c>
      <c r="K631" s="52">
        <v>46234</v>
      </c>
      <c r="L631" s="134" t="s">
        <v>734</v>
      </c>
    </row>
    <row r="632" spans="1:12">
      <c r="A632" s="89">
        <v>18724</v>
      </c>
      <c r="B632" s="50">
        <v>76100</v>
      </c>
      <c r="C632" s="89">
        <v>7793440002446</v>
      </c>
      <c r="D632" s="50" t="s">
        <v>927</v>
      </c>
      <c r="E632" s="101">
        <v>11538.79</v>
      </c>
      <c r="F632" s="101">
        <v>9807.9714999999997</v>
      </c>
      <c r="G632" s="105">
        <v>1730.8185000000012</v>
      </c>
      <c r="H632" s="50" t="s">
        <v>17</v>
      </c>
      <c r="I632" s="50" t="s">
        <v>69</v>
      </c>
      <c r="J632" s="52">
        <v>46206</v>
      </c>
      <c r="K632" s="52">
        <v>46234</v>
      </c>
      <c r="L632" s="134" t="s">
        <v>734</v>
      </c>
    </row>
    <row r="633" spans="1:12">
      <c r="A633" s="89">
        <v>5332</v>
      </c>
      <c r="B633" s="50">
        <v>70323</v>
      </c>
      <c r="C633" s="89">
        <v>7795933732601</v>
      </c>
      <c r="D633" s="50" t="s">
        <v>928</v>
      </c>
      <c r="E633" s="101">
        <v>12177.39</v>
      </c>
      <c r="F633" s="101">
        <v>10350.781499999999</v>
      </c>
      <c r="G633" s="105">
        <v>1826.6085000000003</v>
      </c>
      <c r="H633" s="50" t="s">
        <v>17</v>
      </c>
      <c r="I633" s="50" t="s">
        <v>69</v>
      </c>
      <c r="J633" s="52">
        <v>46178</v>
      </c>
      <c r="K633" s="52">
        <v>46234</v>
      </c>
      <c r="L633" s="134" t="s">
        <v>734</v>
      </c>
    </row>
    <row r="634" spans="1:12">
      <c r="A634" s="89">
        <v>664185</v>
      </c>
      <c r="B634" s="50" t="s">
        <v>929</v>
      </c>
      <c r="C634" s="89">
        <v>7792319972576</v>
      </c>
      <c r="D634" s="50" t="s">
        <v>930</v>
      </c>
      <c r="E634" s="101">
        <v>6739.63</v>
      </c>
      <c r="F634" s="101">
        <v>5728.6854999999996</v>
      </c>
      <c r="G634" s="105">
        <v>1010.9445000000005</v>
      </c>
      <c r="H634" s="50" t="s">
        <v>17</v>
      </c>
      <c r="I634" s="50" t="s">
        <v>69</v>
      </c>
      <c r="J634" s="52">
        <v>46206</v>
      </c>
      <c r="K634" s="52">
        <v>46234</v>
      </c>
      <c r="L634" s="134" t="s">
        <v>734</v>
      </c>
    </row>
    <row r="635" spans="1:12">
      <c r="A635" s="89">
        <v>664184</v>
      </c>
      <c r="B635" s="50" t="s">
        <v>931</v>
      </c>
      <c r="C635" s="89">
        <v>7792319972521</v>
      </c>
      <c r="D635" s="50" t="s">
        <v>932</v>
      </c>
      <c r="E635" s="101">
        <v>6739.63</v>
      </c>
      <c r="F635" s="101">
        <v>5728.6854999999996</v>
      </c>
      <c r="G635" s="105">
        <v>1010.9445000000005</v>
      </c>
      <c r="H635" s="50" t="s">
        <v>17</v>
      </c>
      <c r="I635" s="50" t="s">
        <v>69</v>
      </c>
      <c r="J635" s="52">
        <v>46206</v>
      </c>
      <c r="K635" s="52">
        <v>46234</v>
      </c>
      <c r="L635" s="134" t="s">
        <v>734</v>
      </c>
    </row>
    <row r="636" spans="1:12">
      <c r="A636" s="89">
        <v>666267</v>
      </c>
      <c r="B636" s="50" t="s">
        <v>933</v>
      </c>
      <c r="C636" s="89">
        <v>7791843024348</v>
      </c>
      <c r="D636" s="50" t="s">
        <v>934</v>
      </c>
      <c r="E636" s="101">
        <v>35798.82</v>
      </c>
      <c r="F636" s="101">
        <v>30428.996999999999</v>
      </c>
      <c r="G636" s="133">
        <v>5369.8230000000003</v>
      </c>
      <c r="H636" s="50" t="s">
        <v>17</v>
      </c>
      <c r="I636" s="50" t="s">
        <v>69</v>
      </c>
      <c r="J636" s="52">
        <v>46178</v>
      </c>
      <c r="K636" s="52">
        <v>46234</v>
      </c>
      <c r="L636" s="134" t="s">
        <v>734</v>
      </c>
    </row>
    <row r="637" spans="1:12">
      <c r="A637" s="89">
        <v>662577</v>
      </c>
      <c r="B637" s="50">
        <v>100177428</v>
      </c>
      <c r="C637" s="89">
        <v>7791728242935</v>
      </c>
      <c r="D637" s="50" t="s">
        <v>935</v>
      </c>
      <c r="E637" s="101">
        <v>18705.009999999998</v>
      </c>
      <c r="F637" s="101">
        <v>15899.258499999998</v>
      </c>
      <c r="G637" s="133">
        <v>2805.7515000000003</v>
      </c>
      <c r="H637" s="50" t="s">
        <v>17</v>
      </c>
      <c r="I637" s="50" t="s">
        <v>69</v>
      </c>
      <c r="J637" s="52">
        <v>46178</v>
      </c>
      <c r="K637" s="52">
        <v>46234</v>
      </c>
      <c r="L637" s="134" t="s">
        <v>734</v>
      </c>
    </row>
    <row r="638" spans="1:12">
      <c r="A638" s="89">
        <v>663619</v>
      </c>
      <c r="B638" s="50">
        <v>2853054</v>
      </c>
      <c r="C638" s="89">
        <v>7798353194264</v>
      </c>
      <c r="D638" s="50" t="s">
        <v>936</v>
      </c>
      <c r="E638" s="101">
        <v>10512.51</v>
      </c>
      <c r="F638" s="101">
        <v>8935.6334999999999</v>
      </c>
      <c r="G638" s="133">
        <v>1576.8765000000003</v>
      </c>
      <c r="H638" s="50" t="s">
        <v>17</v>
      </c>
      <c r="I638" s="50" t="s">
        <v>69</v>
      </c>
      <c r="J638" s="52">
        <v>46178</v>
      </c>
      <c r="K638" s="52">
        <v>46234</v>
      </c>
      <c r="L638" s="134" t="s">
        <v>734</v>
      </c>
    </row>
    <row r="639" spans="1:12">
      <c r="A639" s="89">
        <v>659941</v>
      </c>
      <c r="B639" s="50" t="s">
        <v>937</v>
      </c>
      <c r="C639" s="89">
        <v>7798078235082</v>
      </c>
      <c r="D639" s="50" t="s">
        <v>938</v>
      </c>
      <c r="E639" s="101">
        <v>23400</v>
      </c>
      <c r="F639" s="101">
        <v>19890</v>
      </c>
      <c r="G639" s="133">
        <v>3510</v>
      </c>
      <c r="H639" s="50" t="s">
        <v>17</v>
      </c>
      <c r="I639" s="50" t="s">
        <v>69</v>
      </c>
      <c r="J639" s="52">
        <v>46178</v>
      </c>
      <c r="K639" s="52">
        <v>46234</v>
      </c>
      <c r="L639" s="134" t="s">
        <v>734</v>
      </c>
    </row>
    <row r="640" spans="1:12">
      <c r="A640" s="89">
        <v>660548</v>
      </c>
      <c r="B640" s="50">
        <v>0</v>
      </c>
      <c r="C640" s="89">
        <v>7798159949327</v>
      </c>
      <c r="D640" s="50" t="s">
        <v>939</v>
      </c>
      <c r="E640" s="101">
        <v>15080</v>
      </c>
      <c r="F640" s="101">
        <v>12818</v>
      </c>
      <c r="G640" s="133">
        <v>2262</v>
      </c>
      <c r="H640" s="50" t="s">
        <v>17</v>
      </c>
      <c r="I640" s="50" t="s">
        <v>69</v>
      </c>
      <c r="J640" s="52">
        <v>46178</v>
      </c>
      <c r="K640" s="52">
        <v>46234</v>
      </c>
      <c r="L640" s="134" t="s">
        <v>734</v>
      </c>
    </row>
    <row r="641" spans="1:12">
      <c r="A641" s="89">
        <v>3344</v>
      </c>
      <c r="B641" s="50">
        <v>10929</v>
      </c>
      <c r="C641" s="89">
        <v>7791560674079</v>
      </c>
      <c r="D641" s="50" t="s">
        <v>940</v>
      </c>
      <c r="E641" s="101">
        <v>11894.67</v>
      </c>
      <c r="F641" s="101">
        <v>10110.469499999999</v>
      </c>
      <c r="G641" s="133">
        <v>1784.2005000000008</v>
      </c>
      <c r="H641" s="50" t="s">
        <v>17</v>
      </c>
      <c r="I641" s="50" t="s">
        <v>69</v>
      </c>
      <c r="J641" s="52">
        <v>46178</v>
      </c>
      <c r="K641" s="52">
        <v>46234</v>
      </c>
      <c r="L641" s="134" t="s">
        <v>734</v>
      </c>
    </row>
    <row r="642" spans="1:12">
      <c r="A642" s="89">
        <v>2125</v>
      </c>
      <c r="B642" s="50">
        <v>13986</v>
      </c>
      <c r="C642" s="89">
        <v>7791560632833</v>
      </c>
      <c r="D642" s="50" t="s">
        <v>941</v>
      </c>
      <c r="E642" s="101">
        <v>11894.67</v>
      </c>
      <c r="F642" s="101">
        <v>10110.469499999999</v>
      </c>
      <c r="G642" s="133">
        <v>1784.2005000000008</v>
      </c>
      <c r="H642" s="50" t="s">
        <v>17</v>
      </c>
      <c r="I642" s="50" t="s">
        <v>69</v>
      </c>
      <c r="J642" s="52">
        <v>46178</v>
      </c>
      <c r="K642" s="52">
        <v>46234</v>
      </c>
      <c r="L642" s="134" t="s">
        <v>734</v>
      </c>
    </row>
    <row r="643" spans="1:12">
      <c r="A643" s="89">
        <v>3343</v>
      </c>
      <c r="B643" s="50">
        <v>14801</v>
      </c>
      <c r="C643" s="89">
        <v>7791560640128</v>
      </c>
      <c r="D643" s="50" t="s">
        <v>942</v>
      </c>
      <c r="E643" s="101">
        <v>11894.67</v>
      </c>
      <c r="F643" s="101">
        <v>10110.469499999999</v>
      </c>
      <c r="G643" s="133">
        <v>1784.2005000000008</v>
      </c>
      <c r="H643" s="50" t="s">
        <v>17</v>
      </c>
      <c r="I643" s="50" t="s">
        <v>69</v>
      </c>
      <c r="J643" s="52">
        <v>46178</v>
      </c>
      <c r="K643" s="52">
        <v>46234</v>
      </c>
      <c r="L643" s="134" t="s">
        <v>734</v>
      </c>
    </row>
    <row r="644" spans="1:12">
      <c r="A644" s="89">
        <v>6626</v>
      </c>
      <c r="B644" s="50">
        <v>10928</v>
      </c>
      <c r="C644" s="89">
        <v>7791580674086</v>
      </c>
      <c r="D644" s="50" t="s">
        <v>943</v>
      </c>
      <c r="E644" s="101">
        <v>11894.67</v>
      </c>
      <c r="F644" s="101">
        <v>10110.469499999999</v>
      </c>
      <c r="G644" s="133">
        <v>1784.2005000000008</v>
      </c>
      <c r="H644" s="50" t="s">
        <v>17</v>
      </c>
      <c r="I644" s="50" t="s">
        <v>69</v>
      </c>
      <c r="J644" s="52">
        <v>46178</v>
      </c>
      <c r="K644" s="52">
        <v>46234</v>
      </c>
      <c r="L644" s="134" t="s">
        <v>734</v>
      </c>
    </row>
    <row r="645" spans="1:12">
      <c r="A645" s="89">
        <v>7996</v>
      </c>
      <c r="B645" s="50">
        <v>51259</v>
      </c>
      <c r="C645" s="89">
        <v>7791560512593</v>
      </c>
      <c r="D645" s="50" t="s">
        <v>944</v>
      </c>
      <c r="E645" s="101">
        <v>11894.63</v>
      </c>
      <c r="F645" s="101">
        <v>10110.4355</v>
      </c>
      <c r="G645" s="133">
        <v>1784.1944999999996</v>
      </c>
      <c r="H645" s="50" t="s">
        <v>17</v>
      </c>
      <c r="I645" s="50" t="s">
        <v>69</v>
      </c>
      <c r="J645" s="52">
        <v>46178</v>
      </c>
      <c r="K645" s="52">
        <v>46234</v>
      </c>
      <c r="L645" s="134" t="s">
        <v>734</v>
      </c>
    </row>
    <row r="646" spans="1:12">
      <c r="A646" s="89">
        <v>659594</v>
      </c>
      <c r="B646" s="50">
        <v>52039</v>
      </c>
      <c r="C646" s="89">
        <v>7791560520390</v>
      </c>
      <c r="D646" s="50" t="s">
        <v>945</v>
      </c>
      <c r="E646" s="101">
        <v>11894.63</v>
      </c>
      <c r="F646" s="101">
        <v>10110.4355</v>
      </c>
      <c r="G646" s="133">
        <v>1784.1944999999996</v>
      </c>
      <c r="H646" s="50" t="s">
        <v>17</v>
      </c>
      <c r="I646" s="50" t="s">
        <v>69</v>
      </c>
      <c r="J646" s="52">
        <v>46178</v>
      </c>
      <c r="K646" s="52">
        <v>46234</v>
      </c>
      <c r="L646" s="134" t="s">
        <v>734</v>
      </c>
    </row>
    <row r="647" spans="1:12">
      <c r="A647" s="89">
        <v>10841</v>
      </c>
      <c r="B647" s="50">
        <v>76102</v>
      </c>
      <c r="C647" s="89">
        <v>7793440700946</v>
      </c>
      <c r="D647" s="50" t="s">
        <v>946</v>
      </c>
      <c r="E647" s="101">
        <v>15385.04</v>
      </c>
      <c r="F647" s="101">
        <v>13077.284</v>
      </c>
      <c r="G647" s="105">
        <v>2307.7560000000012</v>
      </c>
      <c r="H647" s="50" t="s">
        <v>17</v>
      </c>
      <c r="I647" s="50" t="s">
        <v>69</v>
      </c>
      <c r="J647" s="52">
        <v>46206</v>
      </c>
      <c r="K647" s="52">
        <v>46234</v>
      </c>
      <c r="L647" s="134" t="s">
        <v>734</v>
      </c>
    </row>
    <row r="648" spans="1:12">
      <c r="A648" s="89">
        <v>17684</v>
      </c>
      <c r="B648" s="50">
        <v>76104</v>
      </c>
      <c r="C648" s="89">
        <v>7793440003061</v>
      </c>
      <c r="D648" s="50" t="s">
        <v>947</v>
      </c>
      <c r="E648" s="101">
        <v>14932.53</v>
      </c>
      <c r="F648" s="101">
        <v>12692.6505</v>
      </c>
      <c r="G648" s="105">
        <v>2239.8795000000009</v>
      </c>
      <c r="H648" s="50" t="s">
        <v>17</v>
      </c>
      <c r="I648" s="50" t="s">
        <v>69</v>
      </c>
      <c r="J648" s="52">
        <v>46206</v>
      </c>
      <c r="K648" s="52">
        <v>46234</v>
      </c>
      <c r="L648" s="134" t="s">
        <v>734</v>
      </c>
    </row>
    <row r="649" spans="1:12">
      <c r="A649" s="89">
        <v>661751</v>
      </c>
      <c r="B649" s="50">
        <v>25774</v>
      </c>
      <c r="C649" s="89">
        <v>7790717153948</v>
      </c>
      <c r="D649" s="50" t="s">
        <v>948</v>
      </c>
      <c r="E649" s="101">
        <v>7481.23</v>
      </c>
      <c r="F649" s="101">
        <v>6359.0454999999993</v>
      </c>
      <c r="G649" s="133">
        <v>1122.1845000000003</v>
      </c>
      <c r="H649" s="50" t="s">
        <v>17</v>
      </c>
      <c r="I649" s="50" t="s">
        <v>69</v>
      </c>
      <c r="J649" s="52">
        <v>46178</v>
      </c>
      <c r="K649" s="52">
        <v>46234</v>
      </c>
      <c r="L649" s="134" t="s">
        <v>734</v>
      </c>
    </row>
    <row r="650" spans="1:12">
      <c r="A650" s="89">
        <v>8300</v>
      </c>
      <c r="B650" s="50" t="s">
        <v>949</v>
      </c>
      <c r="C650" s="89">
        <v>7792319000231</v>
      </c>
      <c r="D650" s="50" t="s">
        <v>950</v>
      </c>
      <c r="E650" s="101">
        <v>12873.12</v>
      </c>
      <c r="F650" s="101">
        <v>10942.152</v>
      </c>
      <c r="G650" s="105">
        <v>1930.9680000000008</v>
      </c>
      <c r="H650" s="50" t="s">
        <v>17</v>
      </c>
      <c r="I650" s="50" t="s">
        <v>69</v>
      </c>
      <c r="J650" s="52">
        <v>46206</v>
      </c>
      <c r="K650" s="52">
        <v>46234</v>
      </c>
      <c r="L650" s="134" t="s">
        <v>734</v>
      </c>
    </row>
    <row r="651" spans="1:12">
      <c r="A651" s="89">
        <v>8104</v>
      </c>
      <c r="B651" s="50" t="s">
        <v>951</v>
      </c>
      <c r="C651" s="89">
        <v>7792319675781</v>
      </c>
      <c r="D651" s="50" t="s">
        <v>952</v>
      </c>
      <c r="E651" s="101">
        <v>7001.24</v>
      </c>
      <c r="F651" s="101">
        <v>5951.0540000000001</v>
      </c>
      <c r="G651" s="105">
        <v>1050.1859999999997</v>
      </c>
      <c r="H651" s="50" t="s">
        <v>17</v>
      </c>
      <c r="I651" s="50" t="s">
        <v>69</v>
      </c>
      <c r="J651" s="52">
        <v>46206</v>
      </c>
      <c r="K651" s="52">
        <v>46234</v>
      </c>
      <c r="L651" s="134" t="s">
        <v>734</v>
      </c>
    </row>
    <row r="652" spans="1:12">
      <c r="A652" s="89">
        <v>660177</v>
      </c>
      <c r="B652" s="50">
        <v>1903</v>
      </c>
      <c r="C652" s="89">
        <v>7798123971903</v>
      </c>
      <c r="D652" s="50" t="s">
        <v>953</v>
      </c>
      <c r="E652" s="101">
        <v>10750.38</v>
      </c>
      <c r="F652" s="101">
        <v>9137.8229999999985</v>
      </c>
      <c r="G652" s="133">
        <v>1612.5570000000007</v>
      </c>
      <c r="H652" s="50" t="s">
        <v>17</v>
      </c>
      <c r="I652" s="50" t="s">
        <v>69</v>
      </c>
      <c r="J652" s="52">
        <v>46178</v>
      </c>
      <c r="K652" s="52">
        <v>46234</v>
      </c>
      <c r="L652" s="134" t="s">
        <v>734</v>
      </c>
    </row>
    <row r="653" spans="1:12">
      <c r="A653" s="89">
        <v>14794</v>
      </c>
      <c r="B653" s="50" t="s">
        <v>954</v>
      </c>
      <c r="C653" s="89">
        <v>7798111990046</v>
      </c>
      <c r="D653" s="50" t="s">
        <v>955</v>
      </c>
      <c r="E653" s="101">
        <v>29145.05</v>
      </c>
      <c r="F653" s="101">
        <v>24773.2925</v>
      </c>
      <c r="G653" s="133">
        <v>4371.7574999999997</v>
      </c>
      <c r="H653" s="50" t="s">
        <v>17</v>
      </c>
      <c r="I653" s="50" t="s">
        <v>69</v>
      </c>
      <c r="J653" s="52">
        <v>46178</v>
      </c>
      <c r="K653" s="52">
        <v>46234</v>
      </c>
      <c r="L653" s="134" t="s">
        <v>734</v>
      </c>
    </row>
    <row r="654" spans="1:12">
      <c r="A654" s="89">
        <v>660078</v>
      </c>
      <c r="B654" s="50" t="s">
        <v>956</v>
      </c>
      <c r="C654" s="89">
        <v>7798111990831</v>
      </c>
      <c r="D654" s="50" t="s">
        <v>957</v>
      </c>
      <c r="E654" s="101">
        <v>32624.93</v>
      </c>
      <c r="F654" s="101">
        <v>27731.190500000001</v>
      </c>
      <c r="G654" s="133">
        <v>4893.7394999999997</v>
      </c>
      <c r="H654" s="50" t="s">
        <v>17</v>
      </c>
      <c r="I654" s="50" t="s">
        <v>69</v>
      </c>
      <c r="J654" s="52">
        <v>46178</v>
      </c>
      <c r="K654" s="52">
        <v>46234</v>
      </c>
      <c r="L654" s="134" t="s">
        <v>734</v>
      </c>
    </row>
    <row r="655" spans="1:12">
      <c r="A655" s="89">
        <v>666469</v>
      </c>
      <c r="B655" s="50" t="s">
        <v>958</v>
      </c>
      <c r="C655" s="89">
        <v>7798111990428</v>
      </c>
      <c r="D655" s="50" t="s">
        <v>959</v>
      </c>
      <c r="E655" s="101">
        <v>32624.86</v>
      </c>
      <c r="F655" s="101">
        <v>27731.131000000001</v>
      </c>
      <c r="G655" s="133">
        <v>4893.7289999999994</v>
      </c>
      <c r="H655" s="50" t="s">
        <v>17</v>
      </c>
      <c r="I655" s="50" t="s">
        <v>69</v>
      </c>
      <c r="J655" s="52">
        <v>46178</v>
      </c>
      <c r="K655" s="52">
        <v>46234</v>
      </c>
      <c r="L655" s="134" t="s">
        <v>734</v>
      </c>
    </row>
    <row r="656" spans="1:12">
      <c r="A656" s="89">
        <v>5987</v>
      </c>
      <c r="B656" s="50" t="s">
        <v>960</v>
      </c>
      <c r="C656" s="89">
        <v>7798074861230</v>
      </c>
      <c r="D656" s="50" t="s">
        <v>961</v>
      </c>
      <c r="E656" s="101">
        <v>12571.5</v>
      </c>
      <c r="F656" s="101">
        <v>10685.775</v>
      </c>
      <c r="G656" s="133">
        <v>1885.7250000000004</v>
      </c>
      <c r="H656" s="50" t="s">
        <v>17</v>
      </c>
      <c r="I656" s="50" t="s">
        <v>69</v>
      </c>
      <c r="J656" s="52">
        <v>46178</v>
      </c>
      <c r="K656" s="52">
        <v>46234</v>
      </c>
      <c r="L656" s="134" t="s">
        <v>734</v>
      </c>
    </row>
    <row r="657" spans="1:12">
      <c r="A657" s="89">
        <v>5986</v>
      </c>
      <c r="B657" s="50" t="s">
        <v>962</v>
      </c>
      <c r="C657" s="89">
        <v>7798074862695</v>
      </c>
      <c r="D657" s="50" t="s">
        <v>963</v>
      </c>
      <c r="E657" s="101">
        <v>12571.5</v>
      </c>
      <c r="F657" s="101">
        <v>10685.775</v>
      </c>
      <c r="G657" s="133">
        <v>1885.7250000000004</v>
      </c>
      <c r="H657" s="50" t="s">
        <v>17</v>
      </c>
      <c r="I657" s="50" t="s">
        <v>69</v>
      </c>
      <c r="J657" s="52">
        <v>46178</v>
      </c>
      <c r="K657" s="52">
        <v>46234</v>
      </c>
      <c r="L657" s="134" t="s">
        <v>734</v>
      </c>
    </row>
    <row r="658" spans="1:12">
      <c r="A658" s="89">
        <v>8423</v>
      </c>
      <c r="B658" s="50">
        <v>41040</v>
      </c>
      <c r="C658" s="89">
        <v>7790577002714</v>
      </c>
      <c r="D658" s="50" t="s">
        <v>964</v>
      </c>
      <c r="E658" s="101">
        <v>12699.11</v>
      </c>
      <c r="F658" s="101">
        <v>10794.2435</v>
      </c>
      <c r="G658" s="133">
        <v>1904.8665000000001</v>
      </c>
      <c r="H658" s="50" t="s">
        <v>17</v>
      </c>
      <c r="I658" s="50" t="s">
        <v>69</v>
      </c>
      <c r="J658" s="52">
        <v>46178</v>
      </c>
      <c r="K658" s="52">
        <v>46234</v>
      </c>
      <c r="L658" s="134" t="s">
        <v>734</v>
      </c>
    </row>
    <row r="659" spans="1:12">
      <c r="A659" s="89">
        <v>660549</v>
      </c>
      <c r="B659" s="50">
        <v>41642</v>
      </c>
      <c r="C659" s="89">
        <v>7798159949532</v>
      </c>
      <c r="D659" s="50" t="s">
        <v>965</v>
      </c>
      <c r="E659" s="101">
        <v>9714.9989999999998</v>
      </c>
      <c r="F659" s="101">
        <v>8257.7491499999996</v>
      </c>
      <c r="G659" s="133">
        <v>1457.2498500000002</v>
      </c>
      <c r="H659" s="50" t="s">
        <v>17</v>
      </c>
      <c r="I659" s="50" t="s">
        <v>69</v>
      </c>
      <c r="J659" s="52">
        <v>46178</v>
      </c>
      <c r="K659" s="52">
        <v>46234</v>
      </c>
      <c r="L659" s="134" t="s">
        <v>734</v>
      </c>
    </row>
    <row r="660" spans="1:12">
      <c r="A660" s="89">
        <v>664455</v>
      </c>
      <c r="B660" s="50">
        <v>1779</v>
      </c>
      <c r="C660" s="89">
        <v>742832134064</v>
      </c>
      <c r="D660" s="50" t="s">
        <v>966</v>
      </c>
      <c r="E660" s="101">
        <v>7395.5860000000002</v>
      </c>
      <c r="F660" s="101">
        <v>6286.2480999999998</v>
      </c>
      <c r="G660" s="133">
        <v>1109.3379000000004</v>
      </c>
      <c r="H660" s="50" t="s">
        <v>17</v>
      </c>
      <c r="I660" s="50" t="s">
        <v>69</v>
      </c>
      <c r="J660" s="52">
        <v>46178</v>
      </c>
      <c r="K660" s="52">
        <v>46234</v>
      </c>
      <c r="L660" s="134" t="s">
        <v>734</v>
      </c>
    </row>
    <row r="661" spans="1:12">
      <c r="A661" s="89">
        <v>663267</v>
      </c>
      <c r="B661" s="50">
        <v>0</v>
      </c>
      <c r="C661" s="89">
        <v>7798127630516</v>
      </c>
      <c r="D661" s="50" t="s">
        <v>967</v>
      </c>
      <c r="E661" s="101">
        <v>10292.969999999999</v>
      </c>
      <c r="F661" s="101">
        <v>8749.0244999999995</v>
      </c>
      <c r="G661" s="133">
        <v>1543.9454999999998</v>
      </c>
      <c r="H661" s="50" t="s">
        <v>17</v>
      </c>
      <c r="I661" s="50" t="s">
        <v>69</v>
      </c>
      <c r="J661" s="52">
        <v>46178</v>
      </c>
      <c r="K661" s="52">
        <v>46234</v>
      </c>
      <c r="L661" s="134" t="s">
        <v>734</v>
      </c>
    </row>
    <row r="662" spans="1:12">
      <c r="A662" s="89">
        <v>661636</v>
      </c>
      <c r="B662" s="50">
        <v>100333033</v>
      </c>
      <c r="C662" s="89">
        <v>7791728234398</v>
      </c>
      <c r="D662" s="50" t="s">
        <v>968</v>
      </c>
      <c r="E662" s="101">
        <v>11136</v>
      </c>
      <c r="F662" s="101">
        <v>9465.6</v>
      </c>
      <c r="G662" s="133">
        <v>1670.3999999999996</v>
      </c>
      <c r="H662" s="50" t="s">
        <v>17</v>
      </c>
      <c r="I662" s="50" t="s">
        <v>69</v>
      </c>
      <c r="J662" s="52">
        <v>46178</v>
      </c>
      <c r="K662" s="52">
        <v>46234</v>
      </c>
      <c r="L662" s="134" t="s">
        <v>734</v>
      </c>
    </row>
    <row r="663" spans="1:12">
      <c r="A663" s="89">
        <v>9236</v>
      </c>
      <c r="B663" s="50" t="s">
        <v>969</v>
      </c>
      <c r="C663" s="89">
        <v>7794450092298</v>
      </c>
      <c r="D663" s="50" t="s">
        <v>970</v>
      </c>
      <c r="E663" s="101">
        <v>29510.41</v>
      </c>
      <c r="F663" s="101">
        <v>25083.8485</v>
      </c>
      <c r="G663" s="133">
        <v>4426.5614999999998</v>
      </c>
      <c r="H663" s="50" t="s">
        <v>17</v>
      </c>
      <c r="I663" s="50" t="s">
        <v>69</v>
      </c>
      <c r="J663" s="52">
        <v>46178</v>
      </c>
      <c r="K663" s="52">
        <v>46234</v>
      </c>
      <c r="L663" s="134" t="s">
        <v>734</v>
      </c>
    </row>
    <row r="664" spans="1:12">
      <c r="A664" s="89">
        <v>11112</v>
      </c>
      <c r="B664" s="50">
        <v>44000</v>
      </c>
      <c r="C664" s="89">
        <v>7790577004305</v>
      </c>
      <c r="D664" s="50" t="s">
        <v>971</v>
      </c>
      <c r="E664" s="101">
        <v>11353.49</v>
      </c>
      <c r="F664" s="101">
        <v>9650.4665000000005</v>
      </c>
      <c r="G664" s="133">
        <v>1703.0234999999993</v>
      </c>
      <c r="H664" s="50" t="s">
        <v>17</v>
      </c>
      <c r="I664" s="50" t="s">
        <v>69</v>
      </c>
      <c r="J664" s="52">
        <v>46178</v>
      </c>
      <c r="K664" s="52">
        <v>46234</v>
      </c>
      <c r="L664" s="134" t="s">
        <v>734</v>
      </c>
    </row>
    <row r="665" spans="1:12">
      <c r="A665" s="89">
        <v>662744</v>
      </c>
      <c r="B665" s="50">
        <v>234</v>
      </c>
      <c r="C665" s="89">
        <v>7798123970234</v>
      </c>
      <c r="D665" s="50" t="s">
        <v>972</v>
      </c>
      <c r="E665" s="101">
        <v>10942.82</v>
      </c>
      <c r="F665" s="101">
        <v>9301.396999999999</v>
      </c>
      <c r="G665" s="133">
        <v>1641.4230000000007</v>
      </c>
      <c r="H665" s="50" t="s">
        <v>17</v>
      </c>
      <c r="I665" s="50" t="s">
        <v>69</v>
      </c>
      <c r="J665" s="52">
        <v>46178</v>
      </c>
      <c r="K665" s="52">
        <v>46234</v>
      </c>
      <c r="L665" s="134" t="s">
        <v>734</v>
      </c>
    </row>
    <row r="666" spans="1:12">
      <c r="A666" s="89">
        <v>662745</v>
      </c>
      <c r="B666" s="50">
        <v>302</v>
      </c>
      <c r="C666" s="89">
        <v>7798123970302</v>
      </c>
      <c r="D666" s="50" t="s">
        <v>973</v>
      </c>
      <c r="E666" s="101">
        <v>12158.68</v>
      </c>
      <c r="F666" s="101">
        <v>10334.878000000001</v>
      </c>
      <c r="G666" s="133">
        <v>1823.8019999999997</v>
      </c>
      <c r="H666" s="50" t="s">
        <v>17</v>
      </c>
      <c r="I666" s="50" t="s">
        <v>69</v>
      </c>
      <c r="J666" s="52">
        <v>46178</v>
      </c>
      <c r="K666" s="52">
        <v>46234</v>
      </c>
      <c r="L666" s="134" t="s">
        <v>734</v>
      </c>
    </row>
    <row r="667" spans="1:12">
      <c r="A667" s="89">
        <v>666478</v>
      </c>
      <c r="B667" s="50">
        <v>100305680</v>
      </c>
      <c r="C667" s="89">
        <v>7791728002775</v>
      </c>
      <c r="D667" s="50" t="s">
        <v>974</v>
      </c>
      <c r="E667" s="101">
        <v>48600</v>
      </c>
      <c r="F667" s="101">
        <v>41310</v>
      </c>
      <c r="G667" s="133">
        <v>7290</v>
      </c>
      <c r="H667" s="50" t="s">
        <v>17</v>
      </c>
      <c r="I667" s="50" t="s">
        <v>69</v>
      </c>
      <c r="J667" s="52">
        <v>46178</v>
      </c>
      <c r="K667" s="52">
        <v>46234</v>
      </c>
      <c r="L667" s="134" t="s">
        <v>734</v>
      </c>
    </row>
    <row r="668" spans="1:12">
      <c r="A668" s="89">
        <v>665943</v>
      </c>
      <c r="B668" s="50">
        <v>943</v>
      </c>
      <c r="C668" s="89">
        <v>7798152260429</v>
      </c>
      <c r="D668" s="50" t="s">
        <v>975</v>
      </c>
      <c r="E668" s="101">
        <v>13790.37</v>
      </c>
      <c r="F668" s="101">
        <v>11721.8145</v>
      </c>
      <c r="G668" s="133">
        <v>2068.5555000000004</v>
      </c>
      <c r="H668" s="50" t="s">
        <v>17</v>
      </c>
      <c r="I668" s="50" t="s">
        <v>69</v>
      </c>
      <c r="J668" s="52">
        <v>46178</v>
      </c>
      <c r="K668" s="52">
        <v>46234</v>
      </c>
      <c r="L668" s="134" t="s">
        <v>734</v>
      </c>
    </row>
    <row r="669" spans="1:12">
      <c r="A669" s="89">
        <v>662319</v>
      </c>
      <c r="B669" s="50">
        <v>319</v>
      </c>
      <c r="C669" s="89">
        <v>7798152260191</v>
      </c>
      <c r="D669" s="50" t="s">
        <v>976</v>
      </c>
      <c r="E669" s="101">
        <v>13790.37</v>
      </c>
      <c r="F669" s="101">
        <v>11721.8145</v>
      </c>
      <c r="G669" s="133">
        <v>2068.5555000000004</v>
      </c>
      <c r="H669" s="50" t="s">
        <v>17</v>
      </c>
      <c r="I669" s="50" t="s">
        <v>69</v>
      </c>
      <c r="J669" s="52">
        <v>46178</v>
      </c>
      <c r="K669" s="52">
        <v>46234</v>
      </c>
      <c r="L669" s="134" t="s">
        <v>734</v>
      </c>
    </row>
    <row r="670" spans="1:12">
      <c r="A670" s="89">
        <v>662318</v>
      </c>
      <c r="B670" s="50">
        <v>318</v>
      </c>
      <c r="C670" s="89">
        <v>7798152260177</v>
      </c>
      <c r="D670" s="50" t="s">
        <v>977</v>
      </c>
      <c r="E670" s="101">
        <v>13790.37</v>
      </c>
      <c r="F670" s="101">
        <v>11721.8145</v>
      </c>
      <c r="G670" s="133">
        <v>2068.5555000000004</v>
      </c>
      <c r="H670" s="50" t="s">
        <v>17</v>
      </c>
      <c r="I670" s="50" t="s">
        <v>69</v>
      </c>
      <c r="J670" s="52">
        <v>46178</v>
      </c>
      <c r="K670" s="52">
        <v>46234</v>
      </c>
      <c r="L670" s="134" t="s">
        <v>734</v>
      </c>
    </row>
    <row r="671" spans="1:12">
      <c r="A671" s="89">
        <v>665948</v>
      </c>
      <c r="B671" s="50">
        <v>948</v>
      </c>
      <c r="C671" s="89">
        <v>7798152262126</v>
      </c>
      <c r="D671" s="50" t="s">
        <v>978</v>
      </c>
      <c r="E671" s="101">
        <v>20527.650000000001</v>
      </c>
      <c r="F671" s="101">
        <v>17448.502500000002</v>
      </c>
      <c r="G671" s="133">
        <v>3079.1474999999991</v>
      </c>
      <c r="H671" s="50" t="s">
        <v>17</v>
      </c>
      <c r="I671" s="50" t="s">
        <v>69</v>
      </c>
      <c r="J671" s="52">
        <v>46178</v>
      </c>
      <c r="K671" s="52">
        <v>46234</v>
      </c>
      <c r="L671" s="134" t="s">
        <v>734</v>
      </c>
    </row>
    <row r="672" spans="1:12">
      <c r="A672" s="89">
        <v>662320</v>
      </c>
      <c r="B672" s="50">
        <v>320</v>
      </c>
      <c r="C672" s="89">
        <v>7798152261969</v>
      </c>
      <c r="D672" s="50" t="s">
        <v>979</v>
      </c>
      <c r="E672" s="101">
        <v>20527.650000000001</v>
      </c>
      <c r="F672" s="101">
        <v>17448.502500000002</v>
      </c>
      <c r="G672" s="133">
        <v>3079.1474999999991</v>
      </c>
      <c r="H672" s="50" t="s">
        <v>17</v>
      </c>
      <c r="I672" s="50" t="s">
        <v>69</v>
      </c>
      <c r="J672" s="52">
        <v>46178</v>
      </c>
      <c r="K672" s="52">
        <v>46234</v>
      </c>
      <c r="L672" s="134" t="s">
        <v>734</v>
      </c>
    </row>
    <row r="673" spans="1:12">
      <c r="A673" s="89">
        <v>663171</v>
      </c>
      <c r="B673" s="50">
        <v>100105262</v>
      </c>
      <c r="C673" s="89">
        <v>7791728004496</v>
      </c>
      <c r="D673" s="50" t="s">
        <v>980</v>
      </c>
      <c r="E673" s="101">
        <v>9044.9979999999996</v>
      </c>
      <c r="F673" s="101">
        <v>7688.2482999999993</v>
      </c>
      <c r="G673" s="133">
        <v>1356.7497000000003</v>
      </c>
      <c r="H673" s="50" t="s">
        <v>17</v>
      </c>
      <c r="I673" s="50" t="s">
        <v>69</v>
      </c>
      <c r="J673" s="52">
        <v>46178</v>
      </c>
      <c r="K673" s="52">
        <v>46234</v>
      </c>
      <c r="L673" s="134" t="s">
        <v>734</v>
      </c>
    </row>
    <row r="674" spans="1:12">
      <c r="A674" s="89">
        <v>662573</v>
      </c>
      <c r="B674" s="50">
        <v>100168009</v>
      </c>
      <c r="C674" s="89">
        <v>7791728238952</v>
      </c>
      <c r="D674" s="50" t="s">
        <v>981</v>
      </c>
      <c r="E674" s="101">
        <v>9044.9979999999996</v>
      </c>
      <c r="F674" s="101">
        <v>7688.2482999999993</v>
      </c>
      <c r="G674" s="133">
        <v>1356.7497000000003</v>
      </c>
      <c r="H674" s="50" t="s">
        <v>17</v>
      </c>
      <c r="I674" s="50" t="s">
        <v>69</v>
      </c>
      <c r="J674" s="52">
        <v>46178</v>
      </c>
      <c r="K674" s="52">
        <v>46234</v>
      </c>
      <c r="L674" s="134" t="s">
        <v>734</v>
      </c>
    </row>
    <row r="675" spans="1:12">
      <c r="A675" s="89">
        <v>19878</v>
      </c>
      <c r="B675" s="50">
        <v>100105265</v>
      </c>
      <c r="C675" s="89">
        <v>7791728002720</v>
      </c>
      <c r="D675" s="50" t="s">
        <v>982</v>
      </c>
      <c r="E675" s="101">
        <v>9044.9979999999996</v>
      </c>
      <c r="F675" s="101">
        <v>7688.2482999999993</v>
      </c>
      <c r="G675" s="133">
        <v>1356.7497000000003</v>
      </c>
      <c r="H675" s="50" t="s">
        <v>17</v>
      </c>
      <c r="I675" s="50" t="s">
        <v>69</v>
      </c>
      <c r="J675" s="52">
        <v>46178</v>
      </c>
      <c r="K675" s="52">
        <v>46234</v>
      </c>
      <c r="L675" s="134" t="s">
        <v>734</v>
      </c>
    </row>
    <row r="676" spans="1:12">
      <c r="A676" s="89">
        <v>663172</v>
      </c>
      <c r="B676" s="50">
        <v>100105267</v>
      </c>
      <c r="C676" s="89">
        <v>7791728004366</v>
      </c>
      <c r="D676" s="50" t="s">
        <v>983</v>
      </c>
      <c r="E676" s="101">
        <v>9044.9979999999996</v>
      </c>
      <c r="F676" s="101">
        <v>7688.2482999999993</v>
      </c>
      <c r="G676" s="133">
        <v>1356.7497000000003</v>
      </c>
      <c r="H676" s="50" t="s">
        <v>17</v>
      </c>
      <c r="I676" s="50" t="s">
        <v>69</v>
      </c>
      <c r="J676" s="52">
        <v>46178</v>
      </c>
      <c r="K676" s="52">
        <v>46234</v>
      </c>
      <c r="L676" s="134" t="s">
        <v>734</v>
      </c>
    </row>
    <row r="677" spans="1:12">
      <c r="A677" s="89">
        <v>663173</v>
      </c>
      <c r="B677" s="50">
        <v>100105276</v>
      </c>
      <c r="C677" s="89">
        <v>7791728006407</v>
      </c>
      <c r="D677" s="50" t="s">
        <v>984</v>
      </c>
      <c r="E677" s="101">
        <v>9044.9979999999996</v>
      </c>
      <c r="F677" s="101">
        <v>7688.2482999999993</v>
      </c>
      <c r="G677" s="133">
        <v>1356.7497000000003</v>
      </c>
      <c r="H677" s="50" t="s">
        <v>17</v>
      </c>
      <c r="I677" s="50" t="s">
        <v>69</v>
      </c>
      <c r="J677" s="52">
        <v>46178</v>
      </c>
      <c r="K677" s="52">
        <v>46234</v>
      </c>
      <c r="L677" s="134" t="s">
        <v>734</v>
      </c>
    </row>
    <row r="678" spans="1:12">
      <c r="A678" s="89">
        <v>662402</v>
      </c>
      <c r="B678" s="50">
        <v>160</v>
      </c>
      <c r="C678" s="89">
        <v>7798110811588</v>
      </c>
      <c r="D678" s="50" t="s">
        <v>985</v>
      </c>
      <c r="E678" s="101">
        <v>12051</v>
      </c>
      <c r="F678" s="101">
        <v>10243.35</v>
      </c>
      <c r="G678" s="133">
        <v>1807.6499999999996</v>
      </c>
      <c r="H678" s="50" t="s">
        <v>17</v>
      </c>
      <c r="I678" s="50" t="s">
        <v>69</v>
      </c>
      <c r="J678" s="52">
        <v>46178</v>
      </c>
      <c r="K678" s="52">
        <v>46234</v>
      </c>
      <c r="L678" s="134" t="s">
        <v>734</v>
      </c>
    </row>
    <row r="679" spans="1:12">
      <c r="A679" s="89">
        <v>662403</v>
      </c>
      <c r="B679" s="50">
        <v>161</v>
      </c>
      <c r="C679" s="89">
        <v>7798110811595</v>
      </c>
      <c r="D679" s="50" t="s">
        <v>986</v>
      </c>
      <c r="E679" s="101">
        <v>12051</v>
      </c>
      <c r="F679" s="101">
        <v>10243.35</v>
      </c>
      <c r="G679" s="133">
        <v>1807.6499999999996</v>
      </c>
      <c r="H679" s="50" t="s">
        <v>17</v>
      </c>
      <c r="I679" s="50" t="s">
        <v>69</v>
      </c>
      <c r="J679" s="52">
        <v>46178</v>
      </c>
      <c r="K679" s="52">
        <v>46234</v>
      </c>
      <c r="L679" s="134" t="s">
        <v>734</v>
      </c>
    </row>
    <row r="680" spans="1:12">
      <c r="A680" s="89">
        <v>662401</v>
      </c>
      <c r="B680" s="50">
        <v>162</v>
      </c>
      <c r="C680" s="89">
        <v>7798110811571</v>
      </c>
      <c r="D680" s="50" t="s">
        <v>987</v>
      </c>
      <c r="E680" s="101">
        <v>12051</v>
      </c>
      <c r="F680" s="101">
        <v>10243.35</v>
      </c>
      <c r="G680" s="133">
        <v>1807.6499999999996</v>
      </c>
      <c r="H680" s="50" t="s">
        <v>17</v>
      </c>
      <c r="I680" s="50" t="s">
        <v>69</v>
      </c>
      <c r="J680" s="52">
        <v>46178</v>
      </c>
      <c r="K680" s="52">
        <v>46234</v>
      </c>
      <c r="L680" s="134" t="s">
        <v>734</v>
      </c>
    </row>
    <row r="681" spans="1:12">
      <c r="A681" s="89">
        <v>661645</v>
      </c>
      <c r="B681" s="50">
        <v>100170558</v>
      </c>
      <c r="C681" s="89">
        <v>7791728239713</v>
      </c>
      <c r="D681" s="50" t="s">
        <v>988</v>
      </c>
      <c r="E681" s="101">
        <v>10454.4</v>
      </c>
      <c r="F681" s="101">
        <v>8886.24</v>
      </c>
      <c r="G681" s="133">
        <v>1568.1599999999999</v>
      </c>
      <c r="H681" s="50" t="s">
        <v>17</v>
      </c>
      <c r="I681" s="50" t="s">
        <v>69</v>
      </c>
      <c r="J681" s="52">
        <v>46178</v>
      </c>
      <c r="K681" s="52">
        <v>46234</v>
      </c>
      <c r="L681" s="134" t="s">
        <v>734</v>
      </c>
    </row>
    <row r="682" spans="1:12">
      <c r="A682" s="89">
        <v>661644</v>
      </c>
      <c r="B682" s="50">
        <v>100170561</v>
      </c>
      <c r="C682" s="89">
        <v>7791728239690</v>
      </c>
      <c r="D682" s="50" t="s">
        <v>989</v>
      </c>
      <c r="E682" s="101">
        <v>10454.4</v>
      </c>
      <c r="F682" s="101">
        <v>8886.24</v>
      </c>
      <c r="G682" s="133">
        <v>1568.1599999999999</v>
      </c>
      <c r="H682" s="50" t="s">
        <v>17</v>
      </c>
      <c r="I682" s="50" t="s">
        <v>69</v>
      </c>
      <c r="J682" s="52">
        <v>46178</v>
      </c>
      <c r="K682" s="52">
        <v>46234</v>
      </c>
      <c r="L682" s="134" t="s">
        <v>734</v>
      </c>
    </row>
    <row r="683" spans="1:12">
      <c r="A683" s="89">
        <v>661646</v>
      </c>
      <c r="B683" s="50">
        <v>100170232</v>
      </c>
      <c r="C683" s="89">
        <v>7791728239508</v>
      </c>
      <c r="D683" s="50" t="s">
        <v>990</v>
      </c>
      <c r="E683" s="101">
        <v>10454.4</v>
      </c>
      <c r="F683" s="101">
        <v>8886.24</v>
      </c>
      <c r="G683" s="133">
        <v>1568.1599999999999</v>
      </c>
      <c r="H683" s="50" t="s">
        <v>17</v>
      </c>
      <c r="I683" s="50" t="s">
        <v>69</v>
      </c>
      <c r="J683" s="52">
        <v>46178</v>
      </c>
      <c r="K683" s="52">
        <v>46234</v>
      </c>
      <c r="L683" s="134" t="s">
        <v>734</v>
      </c>
    </row>
    <row r="684" spans="1:12">
      <c r="A684" s="89">
        <v>665255</v>
      </c>
      <c r="B684" s="50">
        <v>100187776</v>
      </c>
      <c r="C684" s="89">
        <v>7791728249309</v>
      </c>
      <c r="D684" s="50" t="s">
        <v>991</v>
      </c>
      <c r="E684" s="101">
        <v>99895.91</v>
      </c>
      <c r="F684" s="101">
        <v>84911.523499999996</v>
      </c>
      <c r="G684" s="133">
        <v>14984.386500000008</v>
      </c>
      <c r="H684" s="50" t="s">
        <v>17</v>
      </c>
      <c r="I684" s="50" t="s">
        <v>69</v>
      </c>
      <c r="J684" s="52">
        <v>46178</v>
      </c>
      <c r="K684" s="52">
        <v>46234</v>
      </c>
      <c r="L684" s="134" t="s">
        <v>734</v>
      </c>
    </row>
    <row r="685" spans="1:12">
      <c r="A685" s="89">
        <v>666458</v>
      </c>
      <c r="B685" s="50" t="s">
        <v>992</v>
      </c>
      <c r="C685" s="89">
        <v>7792319971784</v>
      </c>
      <c r="D685" s="50" t="s">
        <v>993</v>
      </c>
      <c r="E685" s="101">
        <v>27546.73</v>
      </c>
      <c r="F685" s="101">
        <v>23414.720499999999</v>
      </c>
      <c r="G685" s="105">
        <v>4132.0095000000001</v>
      </c>
      <c r="H685" s="50" t="s">
        <v>17</v>
      </c>
      <c r="I685" s="50" t="s">
        <v>69</v>
      </c>
      <c r="J685" s="52">
        <v>46206</v>
      </c>
      <c r="K685" s="52">
        <v>46234</v>
      </c>
      <c r="L685" s="134" t="s">
        <v>734</v>
      </c>
    </row>
    <row r="686" spans="1:12">
      <c r="A686" s="89">
        <v>666457</v>
      </c>
      <c r="B686" s="50" t="s">
        <v>994</v>
      </c>
      <c r="C686" s="89">
        <v>7792319003904</v>
      </c>
      <c r="D686" s="50" t="s">
        <v>995</v>
      </c>
      <c r="E686" s="101">
        <v>27134.6</v>
      </c>
      <c r="F686" s="101">
        <v>23064.41</v>
      </c>
      <c r="G686" s="105">
        <v>4070.1899999999987</v>
      </c>
      <c r="H686" s="50" t="s">
        <v>17</v>
      </c>
      <c r="I686" s="50" t="s">
        <v>69</v>
      </c>
      <c r="J686" s="52">
        <v>46206</v>
      </c>
      <c r="K686" s="52">
        <v>46234</v>
      </c>
      <c r="L686" s="134" t="s">
        <v>734</v>
      </c>
    </row>
    <row r="687" spans="1:12">
      <c r="A687" s="89">
        <v>665252</v>
      </c>
      <c r="B687" s="50">
        <v>100105309</v>
      </c>
      <c r="C687" s="89">
        <v>7791728002478</v>
      </c>
      <c r="D687" s="50" t="s">
        <v>996</v>
      </c>
      <c r="E687" s="101">
        <v>20880.009999999998</v>
      </c>
      <c r="F687" s="101">
        <v>17748.0085</v>
      </c>
      <c r="G687" s="133">
        <v>3132.0014999999985</v>
      </c>
      <c r="H687" s="50" t="s">
        <v>17</v>
      </c>
      <c r="I687" s="50" t="s">
        <v>69</v>
      </c>
      <c r="J687" s="52">
        <v>46178</v>
      </c>
      <c r="K687" s="52">
        <v>46234</v>
      </c>
      <c r="L687" s="134" t="s">
        <v>734</v>
      </c>
    </row>
    <row r="688" spans="1:12">
      <c r="A688" s="89">
        <v>665698</v>
      </c>
      <c r="B688" s="50">
        <v>100105314</v>
      </c>
      <c r="C688" s="89">
        <v>7791728018868</v>
      </c>
      <c r="D688" s="50" t="s">
        <v>997</v>
      </c>
      <c r="E688" s="101">
        <v>18269.990000000002</v>
      </c>
      <c r="F688" s="101">
        <v>15529.4915</v>
      </c>
      <c r="G688" s="133">
        <v>2740.4985000000015</v>
      </c>
      <c r="H688" s="50" t="s">
        <v>17</v>
      </c>
      <c r="I688" s="50" t="s">
        <v>69</v>
      </c>
      <c r="J688" s="52">
        <v>46178</v>
      </c>
      <c r="K688" s="52">
        <v>46234</v>
      </c>
      <c r="L688" s="134" t="s">
        <v>734</v>
      </c>
    </row>
    <row r="689" spans="1:12">
      <c r="A689" s="89">
        <v>657987</v>
      </c>
      <c r="B689" s="50">
        <v>10010002322</v>
      </c>
      <c r="C689" s="89">
        <v>7791843009048</v>
      </c>
      <c r="D689" s="50" t="s">
        <v>998</v>
      </c>
      <c r="E689" s="101">
        <v>3533.2820000000002</v>
      </c>
      <c r="F689" s="101">
        <v>3003.2897000000003</v>
      </c>
      <c r="G689" s="133">
        <v>529.99229999999989</v>
      </c>
      <c r="H689" s="50" t="s">
        <v>17</v>
      </c>
      <c r="I689" s="50" t="s">
        <v>69</v>
      </c>
      <c r="J689" s="52">
        <v>46178</v>
      </c>
      <c r="K689" s="52">
        <v>46234</v>
      </c>
      <c r="L689" s="134" t="s">
        <v>734</v>
      </c>
    </row>
    <row r="690" spans="1:12">
      <c r="A690" s="89">
        <v>657414</v>
      </c>
      <c r="B690" s="50">
        <v>10010003822</v>
      </c>
      <c r="C690" s="89">
        <v>7791843008874</v>
      </c>
      <c r="D690" s="50" t="s">
        <v>999</v>
      </c>
      <c r="E690" s="101">
        <v>3533.2820000000002</v>
      </c>
      <c r="F690" s="101">
        <v>3003.2897000000003</v>
      </c>
      <c r="G690" s="133">
        <v>529.99229999999989</v>
      </c>
      <c r="H690" s="50" t="s">
        <v>17</v>
      </c>
      <c r="I690" s="50" t="s">
        <v>69</v>
      </c>
      <c r="J690" s="52">
        <v>46178</v>
      </c>
      <c r="K690" s="52">
        <v>46234</v>
      </c>
      <c r="L690" s="134" t="s">
        <v>734</v>
      </c>
    </row>
    <row r="691" spans="1:12">
      <c r="A691" s="89">
        <v>657411</v>
      </c>
      <c r="B691" s="50">
        <v>10010003722</v>
      </c>
      <c r="C691" s="89">
        <v>7791843009000</v>
      </c>
      <c r="D691" s="50" t="s">
        <v>1000</v>
      </c>
      <c r="E691" s="101">
        <v>3533.2820000000002</v>
      </c>
      <c r="F691" s="101">
        <v>3003.2897000000003</v>
      </c>
      <c r="G691" s="133">
        <v>529.99229999999989</v>
      </c>
      <c r="H691" s="50" t="s">
        <v>17</v>
      </c>
      <c r="I691" s="50" t="s">
        <v>69</v>
      </c>
      <c r="J691" s="52">
        <v>46178</v>
      </c>
      <c r="K691" s="52">
        <v>46234</v>
      </c>
      <c r="L691" s="134" t="s">
        <v>734</v>
      </c>
    </row>
    <row r="692" spans="1:12">
      <c r="A692" s="89">
        <v>6201</v>
      </c>
      <c r="B692" s="50">
        <v>10010003422</v>
      </c>
      <c r="C692" s="89">
        <v>7791843009055</v>
      </c>
      <c r="D692" s="50" t="s">
        <v>1001</v>
      </c>
      <c r="E692" s="101">
        <v>3533.2820000000002</v>
      </c>
      <c r="F692" s="101">
        <v>3003.2897000000003</v>
      </c>
      <c r="G692" s="133">
        <v>529.99229999999989</v>
      </c>
      <c r="H692" s="50" t="s">
        <v>17</v>
      </c>
      <c r="I692" s="50" t="s">
        <v>69</v>
      </c>
      <c r="J692" s="52">
        <v>46178</v>
      </c>
      <c r="K692" s="52">
        <v>46234</v>
      </c>
      <c r="L692" s="134" t="s">
        <v>734</v>
      </c>
    </row>
    <row r="693" spans="1:12">
      <c r="A693" s="89">
        <v>661634</v>
      </c>
      <c r="B693" s="50">
        <v>100194909</v>
      </c>
      <c r="C693" s="89">
        <v>7791728000757</v>
      </c>
      <c r="D693" s="50" t="s">
        <v>1002</v>
      </c>
      <c r="E693" s="101">
        <v>5579.9989999999998</v>
      </c>
      <c r="F693" s="101">
        <v>4742.9991499999996</v>
      </c>
      <c r="G693" s="133">
        <v>836.99985000000015</v>
      </c>
      <c r="H693" s="50" t="s">
        <v>17</v>
      </c>
      <c r="I693" s="50" t="s">
        <v>69</v>
      </c>
      <c r="J693" s="52">
        <v>46178</v>
      </c>
      <c r="K693" s="52">
        <v>46234</v>
      </c>
      <c r="L693" s="134" t="s">
        <v>734</v>
      </c>
    </row>
    <row r="694" spans="1:12">
      <c r="A694" s="89">
        <v>8674</v>
      </c>
      <c r="B694" s="50">
        <v>100194931</v>
      </c>
      <c r="C694" s="89">
        <v>7791728000351</v>
      </c>
      <c r="D694" s="50" t="s">
        <v>1003</v>
      </c>
      <c r="E694" s="101">
        <v>5579.9989999999998</v>
      </c>
      <c r="F694" s="101">
        <v>4742.9991499999996</v>
      </c>
      <c r="G694" s="133">
        <v>836.99985000000015</v>
      </c>
      <c r="H694" s="50" t="s">
        <v>17</v>
      </c>
      <c r="I694" s="50" t="s">
        <v>69</v>
      </c>
      <c r="J694" s="52">
        <v>46178</v>
      </c>
      <c r="K694" s="52">
        <v>46234</v>
      </c>
      <c r="L694" s="134" t="s">
        <v>734</v>
      </c>
    </row>
    <row r="695" spans="1:12">
      <c r="A695" s="89">
        <v>662575</v>
      </c>
      <c r="B695" s="50">
        <v>100190288</v>
      </c>
      <c r="C695" s="89">
        <v>7791728233490</v>
      </c>
      <c r="D695" s="50" t="s">
        <v>1004</v>
      </c>
      <c r="E695" s="101">
        <v>5579.9989999999998</v>
      </c>
      <c r="F695" s="101">
        <v>4742.9991499999996</v>
      </c>
      <c r="G695" s="133">
        <v>836.99985000000015</v>
      </c>
      <c r="H695" s="50" t="s">
        <v>17</v>
      </c>
      <c r="I695" s="50" t="s">
        <v>69</v>
      </c>
      <c r="J695" s="52">
        <v>46178</v>
      </c>
      <c r="K695" s="52">
        <v>46234</v>
      </c>
      <c r="L695" s="134" t="s">
        <v>734</v>
      </c>
    </row>
    <row r="696" spans="1:12">
      <c r="A696" s="89">
        <v>8636</v>
      </c>
      <c r="B696" s="50">
        <v>100194893</v>
      </c>
      <c r="C696" s="89">
        <v>7791728000535</v>
      </c>
      <c r="D696" s="50" t="s">
        <v>1005</v>
      </c>
      <c r="E696" s="101">
        <v>8009.9939999999997</v>
      </c>
      <c r="F696" s="101">
        <v>6808.4948999999997</v>
      </c>
      <c r="G696" s="133">
        <v>1201.4991</v>
      </c>
      <c r="H696" s="50" t="s">
        <v>17</v>
      </c>
      <c r="I696" s="50" t="s">
        <v>69</v>
      </c>
      <c r="J696" s="52">
        <v>46178</v>
      </c>
      <c r="K696" s="52">
        <v>46234</v>
      </c>
      <c r="L696" s="134" t="s">
        <v>734</v>
      </c>
    </row>
    <row r="697" spans="1:12">
      <c r="A697" s="89">
        <v>662578</v>
      </c>
      <c r="B697" s="50">
        <v>100179779</v>
      </c>
      <c r="C697" s="89">
        <v>7791728243628</v>
      </c>
      <c r="D697" s="50" t="s">
        <v>1006</v>
      </c>
      <c r="E697" s="101">
        <v>12075</v>
      </c>
      <c r="F697" s="101">
        <v>10263.75</v>
      </c>
      <c r="G697" s="133">
        <v>1811.25</v>
      </c>
      <c r="H697" s="50" t="s">
        <v>17</v>
      </c>
      <c r="I697" s="50" t="s">
        <v>69</v>
      </c>
      <c r="J697" s="52">
        <v>46178</v>
      </c>
      <c r="K697" s="52">
        <v>46234</v>
      </c>
      <c r="L697" s="134" t="s">
        <v>734</v>
      </c>
    </row>
    <row r="698" spans="1:12">
      <c r="A698" s="89">
        <v>665648</v>
      </c>
      <c r="B698" s="50">
        <v>100199520</v>
      </c>
      <c r="C698" s="89">
        <v>7791728249286</v>
      </c>
      <c r="D698" s="50" t="s">
        <v>1007</v>
      </c>
      <c r="E698" s="101">
        <v>41400</v>
      </c>
      <c r="F698" s="101">
        <v>35190</v>
      </c>
      <c r="G698" s="133">
        <v>6210</v>
      </c>
      <c r="H698" s="50" t="s">
        <v>17</v>
      </c>
      <c r="I698" s="50" t="s">
        <v>69</v>
      </c>
      <c r="J698" s="52">
        <v>46178</v>
      </c>
      <c r="K698" s="52">
        <v>46234</v>
      </c>
      <c r="L698" s="134" t="s">
        <v>734</v>
      </c>
    </row>
    <row r="699" spans="1:12">
      <c r="A699" s="89">
        <v>660838</v>
      </c>
      <c r="B699" s="50">
        <v>1213</v>
      </c>
      <c r="C699" s="89">
        <v>7798039598140</v>
      </c>
      <c r="D699" s="50" t="s">
        <v>1008</v>
      </c>
      <c r="E699" s="101">
        <v>14714.99</v>
      </c>
      <c r="F699" s="101">
        <v>12507.7415</v>
      </c>
      <c r="G699" s="133">
        <v>2207.2484999999997</v>
      </c>
      <c r="H699" s="50" t="s">
        <v>17</v>
      </c>
      <c r="I699" s="50" t="s">
        <v>69</v>
      </c>
      <c r="J699" s="52">
        <v>46178</v>
      </c>
      <c r="K699" s="52">
        <v>46234</v>
      </c>
      <c r="L699" s="134" t="s">
        <v>734</v>
      </c>
    </row>
    <row r="700" spans="1:12">
      <c r="A700" s="89">
        <v>660787</v>
      </c>
      <c r="B700" s="50">
        <v>1202</v>
      </c>
      <c r="C700" s="89">
        <v>7798039597815</v>
      </c>
      <c r="D700" s="50" t="s">
        <v>1009</v>
      </c>
      <c r="E700" s="101">
        <v>14714.99</v>
      </c>
      <c r="F700" s="101">
        <v>12507.7415</v>
      </c>
      <c r="G700" s="133">
        <v>2207.2484999999997</v>
      </c>
      <c r="H700" s="50" t="s">
        <v>17</v>
      </c>
      <c r="I700" s="50" t="s">
        <v>69</v>
      </c>
      <c r="J700" s="52">
        <v>46178</v>
      </c>
      <c r="K700" s="52">
        <v>46234</v>
      </c>
      <c r="L700" s="134" t="s">
        <v>734</v>
      </c>
    </row>
    <row r="701" spans="1:12">
      <c r="A701" s="89">
        <v>660900</v>
      </c>
      <c r="B701" s="50">
        <v>100172861</v>
      </c>
      <c r="C701" s="89">
        <v>7791728006865</v>
      </c>
      <c r="D701" s="50" t="s">
        <v>1010</v>
      </c>
      <c r="E701" s="101">
        <v>11700</v>
      </c>
      <c r="F701" s="101">
        <v>9945</v>
      </c>
      <c r="G701" s="133">
        <v>1755</v>
      </c>
      <c r="H701" s="50" t="s">
        <v>17</v>
      </c>
      <c r="I701" s="50" t="s">
        <v>69</v>
      </c>
      <c r="J701" s="52">
        <v>46178</v>
      </c>
      <c r="K701" s="52">
        <v>46234</v>
      </c>
      <c r="L701" s="134" t="s">
        <v>734</v>
      </c>
    </row>
    <row r="702" spans="1:12">
      <c r="A702" s="89">
        <v>11411</v>
      </c>
      <c r="B702" s="50" t="s">
        <v>1011</v>
      </c>
      <c r="C702" s="89">
        <v>7798108839518</v>
      </c>
      <c r="D702" s="50" t="s">
        <v>1012</v>
      </c>
      <c r="E702" s="101">
        <v>6507.5990000000002</v>
      </c>
      <c r="F702" s="101">
        <v>5206.0792000000001</v>
      </c>
      <c r="G702" s="133">
        <v>1301.5198</v>
      </c>
      <c r="H702" s="50" t="s">
        <v>17</v>
      </c>
      <c r="I702" s="50" t="s">
        <v>74</v>
      </c>
      <c r="J702" s="52">
        <v>46178</v>
      </c>
      <c r="K702" s="52">
        <v>46234</v>
      </c>
      <c r="L702" s="134" t="s">
        <v>734</v>
      </c>
    </row>
    <row r="703" spans="1:12">
      <c r="A703" s="89">
        <v>9800</v>
      </c>
      <c r="B703" s="50" t="s">
        <v>1013</v>
      </c>
      <c r="C703" s="89">
        <v>7798108839778</v>
      </c>
      <c r="D703" s="50" t="s">
        <v>1014</v>
      </c>
      <c r="E703" s="101">
        <v>6507.5990000000002</v>
      </c>
      <c r="F703" s="101">
        <v>5206.0792000000001</v>
      </c>
      <c r="G703" s="133">
        <v>1301.5198</v>
      </c>
      <c r="H703" s="50" t="s">
        <v>17</v>
      </c>
      <c r="I703" s="50" t="s">
        <v>74</v>
      </c>
      <c r="J703" s="52">
        <v>46178</v>
      </c>
      <c r="K703" s="52">
        <v>46234</v>
      </c>
      <c r="L703" s="134" t="s">
        <v>734</v>
      </c>
    </row>
    <row r="704" spans="1:12">
      <c r="A704" s="89">
        <v>660554</v>
      </c>
      <c r="B704" s="50">
        <v>52825</v>
      </c>
      <c r="C704" s="89">
        <v>7798159947156</v>
      </c>
      <c r="D704" s="50" t="s">
        <v>1015</v>
      </c>
      <c r="E704" s="101">
        <v>6719.991</v>
      </c>
      <c r="F704" s="101">
        <v>5375.9928</v>
      </c>
      <c r="G704" s="133">
        <v>1343.9982</v>
      </c>
      <c r="H704" s="50" t="s">
        <v>17</v>
      </c>
      <c r="I704" s="50" t="s">
        <v>74</v>
      </c>
      <c r="J704" s="52">
        <v>46178</v>
      </c>
      <c r="K704" s="52">
        <v>46234</v>
      </c>
      <c r="L704" s="134" t="s">
        <v>734</v>
      </c>
    </row>
    <row r="705" spans="1:12">
      <c r="A705" s="89">
        <v>660553</v>
      </c>
      <c r="B705" s="50">
        <v>52839</v>
      </c>
      <c r="C705" s="89">
        <v>7798159947422</v>
      </c>
      <c r="D705" s="50" t="s">
        <v>1016</v>
      </c>
      <c r="E705" s="101">
        <v>6719.991</v>
      </c>
      <c r="F705" s="101">
        <v>5375.9928</v>
      </c>
      <c r="G705" s="133">
        <v>1343.9982</v>
      </c>
      <c r="H705" s="50" t="s">
        <v>17</v>
      </c>
      <c r="I705" s="50" t="s">
        <v>74</v>
      </c>
      <c r="J705" s="52">
        <v>46178</v>
      </c>
      <c r="K705" s="52">
        <v>46234</v>
      </c>
      <c r="L705" s="134" t="s">
        <v>734</v>
      </c>
    </row>
    <row r="706" spans="1:12">
      <c r="A706" s="89">
        <v>660557</v>
      </c>
      <c r="B706" s="50">
        <v>20690</v>
      </c>
      <c r="C706" s="89">
        <v>7798159947361</v>
      </c>
      <c r="D706" s="50" t="s">
        <v>1017</v>
      </c>
      <c r="E706" s="101">
        <v>6192.5860000000002</v>
      </c>
      <c r="F706" s="101">
        <v>4954.0688000000009</v>
      </c>
      <c r="G706" s="133">
        <v>1238.5171999999993</v>
      </c>
      <c r="H706" s="50" t="s">
        <v>17</v>
      </c>
      <c r="I706" s="50" t="s">
        <v>74</v>
      </c>
      <c r="J706" s="52">
        <v>46178</v>
      </c>
      <c r="K706" s="52">
        <v>46234</v>
      </c>
      <c r="L706" s="134" t="s">
        <v>734</v>
      </c>
    </row>
    <row r="707" spans="1:12">
      <c r="A707" s="89">
        <v>660556</v>
      </c>
      <c r="B707" s="50">
        <v>20701</v>
      </c>
      <c r="C707" s="89">
        <v>7798159947095</v>
      </c>
      <c r="D707" s="50" t="s">
        <v>1018</v>
      </c>
      <c r="E707" s="101">
        <v>6192.5860000000002</v>
      </c>
      <c r="F707" s="101">
        <v>4954.0688000000009</v>
      </c>
      <c r="G707" s="133">
        <v>1238.5171999999993</v>
      </c>
      <c r="H707" s="50" t="s">
        <v>17</v>
      </c>
      <c r="I707" s="50" t="s">
        <v>74</v>
      </c>
      <c r="J707" s="52">
        <v>46178</v>
      </c>
      <c r="K707" s="52">
        <v>46234</v>
      </c>
      <c r="L707" s="134" t="s">
        <v>734</v>
      </c>
    </row>
    <row r="708" spans="1:12">
      <c r="A708" s="89">
        <v>660555</v>
      </c>
      <c r="B708" s="50">
        <v>20702</v>
      </c>
      <c r="C708" s="89">
        <v>7798159947071</v>
      </c>
      <c r="D708" s="50" t="s">
        <v>1019</v>
      </c>
      <c r="E708" s="101">
        <v>6192.5860000000002</v>
      </c>
      <c r="F708" s="101">
        <v>4954.0688000000009</v>
      </c>
      <c r="G708" s="133">
        <v>1238.5171999999993</v>
      </c>
      <c r="H708" s="50" t="s">
        <v>17</v>
      </c>
      <c r="I708" s="50" t="s">
        <v>74</v>
      </c>
      <c r="J708" s="52">
        <v>46178</v>
      </c>
      <c r="K708" s="52">
        <v>46234</v>
      </c>
      <c r="L708" s="134" t="s">
        <v>734</v>
      </c>
    </row>
    <row r="709" spans="1:12">
      <c r="A709" s="89">
        <v>660552</v>
      </c>
      <c r="B709" s="50">
        <v>52385</v>
      </c>
      <c r="C709" s="89">
        <v>7798159947132</v>
      </c>
      <c r="D709" s="50" t="s">
        <v>1020</v>
      </c>
      <c r="E709" s="101">
        <v>15200</v>
      </c>
      <c r="F709" s="101">
        <v>12160</v>
      </c>
      <c r="G709" s="133">
        <v>3040</v>
      </c>
      <c r="H709" s="50" t="s">
        <v>17</v>
      </c>
      <c r="I709" s="50" t="s">
        <v>74</v>
      </c>
      <c r="J709" s="52">
        <v>46178</v>
      </c>
      <c r="K709" s="52">
        <v>46234</v>
      </c>
      <c r="L709" s="134" t="s">
        <v>734</v>
      </c>
    </row>
    <row r="710" spans="1:12">
      <c r="A710" s="89">
        <v>660551</v>
      </c>
      <c r="B710" s="50">
        <v>52383</v>
      </c>
      <c r="C710" s="89">
        <v>7798159947194</v>
      </c>
      <c r="D710" s="50" t="s">
        <v>1021</v>
      </c>
      <c r="E710" s="101">
        <v>15200</v>
      </c>
      <c r="F710" s="101">
        <v>12160</v>
      </c>
      <c r="G710" s="133">
        <v>3040</v>
      </c>
      <c r="H710" s="50" t="s">
        <v>17</v>
      </c>
      <c r="I710" s="50" t="s">
        <v>74</v>
      </c>
      <c r="J710" s="52">
        <v>46178</v>
      </c>
      <c r="K710" s="52">
        <v>46234</v>
      </c>
      <c r="L710" s="134" t="s">
        <v>734</v>
      </c>
    </row>
    <row r="711" spans="1:12">
      <c r="A711" s="89">
        <v>664134</v>
      </c>
      <c r="B711" s="50" t="s">
        <v>1022</v>
      </c>
      <c r="C711" s="89">
        <v>7792319969569</v>
      </c>
      <c r="D711" s="50" t="s">
        <v>1023</v>
      </c>
      <c r="E711" s="101">
        <v>17483.189999999999</v>
      </c>
      <c r="F711" s="101">
        <v>13986.552</v>
      </c>
      <c r="G711" s="105">
        <v>3496.637999999999</v>
      </c>
      <c r="H711" s="50" t="s">
        <v>17</v>
      </c>
      <c r="I711" s="50" t="s">
        <v>74</v>
      </c>
      <c r="J711" s="52">
        <v>46206</v>
      </c>
      <c r="K711" s="52">
        <v>46234</v>
      </c>
      <c r="L711" s="134" t="s">
        <v>734</v>
      </c>
    </row>
    <row r="712" spans="1:12">
      <c r="A712" s="89">
        <v>664133</v>
      </c>
      <c r="B712" s="50" t="s">
        <v>1024</v>
      </c>
      <c r="C712" s="89">
        <v>7792319969552</v>
      </c>
      <c r="D712" s="50" t="s">
        <v>1025</v>
      </c>
      <c r="E712" s="101">
        <v>17483.189999999999</v>
      </c>
      <c r="F712" s="101">
        <v>13986.552</v>
      </c>
      <c r="G712" s="105">
        <v>3496.637999999999</v>
      </c>
      <c r="H712" s="50" t="s">
        <v>17</v>
      </c>
      <c r="I712" s="50" t="s">
        <v>74</v>
      </c>
      <c r="J712" s="52">
        <v>46206</v>
      </c>
      <c r="K712" s="52">
        <v>46234</v>
      </c>
      <c r="L712" s="134" t="s">
        <v>734</v>
      </c>
    </row>
    <row r="713" spans="1:12">
      <c r="A713" s="89">
        <v>664136</v>
      </c>
      <c r="B713" s="50" t="s">
        <v>1026</v>
      </c>
      <c r="C713" s="89">
        <v>7792319970367</v>
      </c>
      <c r="D713" s="50" t="s">
        <v>1027</v>
      </c>
      <c r="E713" s="101">
        <v>17483.189999999999</v>
      </c>
      <c r="F713" s="101">
        <v>13986.552</v>
      </c>
      <c r="G713" s="105">
        <v>3496.637999999999</v>
      </c>
      <c r="H713" s="50" t="s">
        <v>17</v>
      </c>
      <c r="I713" s="50" t="s">
        <v>74</v>
      </c>
      <c r="J713" s="52">
        <v>46206</v>
      </c>
      <c r="K713" s="52">
        <v>46234</v>
      </c>
      <c r="L713" s="134" t="s">
        <v>734</v>
      </c>
    </row>
    <row r="714" spans="1:12">
      <c r="A714" s="89">
        <v>666471</v>
      </c>
      <c r="B714" s="50">
        <v>100199474</v>
      </c>
      <c r="C714" s="89">
        <v>7791728249187</v>
      </c>
      <c r="D714" s="50" t="s">
        <v>1028</v>
      </c>
      <c r="E714" s="101">
        <v>153000</v>
      </c>
      <c r="F714" s="101">
        <v>122400</v>
      </c>
      <c r="G714" s="133">
        <v>30600</v>
      </c>
      <c r="H714" s="50" t="s">
        <v>17</v>
      </c>
      <c r="I714" s="50" t="s">
        <v>74</v>
      </c>
      <c r="J714" s="52">
        <v>46178</v>
      </c>
      <c r="K714" s="52">
        <v>46234</v>
      </c>
      <c r="L714" s="134" t="s">
        <v>734</v>
      </c>
    </row>
    <row r="715" spans="1:12">
      <c r="A715" s="89">
        <v>666472</v>
      </c>
      <c r="B715" s="50">
        <v>100190826</v>
      </c>
      <c r="C715" s="89">
        <v>7791728246780</v>
      </c>
      <c r="D715" s="50" t="s">
        <v>1029</v>
      </c>
      <c r="E715" s="101">
        <v>153000</v>
      </c>
      <c r="F715" s="101">
        <v>122400</v>
      </c>
      <c r="G715" s="133">
        <v>30600</v>
      </c>
      <c r="H715" s="50" t="s">
        <v>17</v>
      </c>
      <c r="I715" s="50" t="s">
        <v>74</v>
      </c>
      <c r="J715" s="52">
        <v>46178</v>
      </c>
      <c r="K715" s="52">
        <v>46234</v>
      </c>
      <c r="L715" s="134" t="s">
        <v>734</v>
      </c>
    </row>
    <row r="716" spans="1:12">
      <c r="A716" s="89">
        <v>666470</v>
      </c>
      <c r="B716" s="50">
        <v>100190838</v>
      </c>
      <c r="C716" s="89">
        <v>7791728246407</v>
      </c>
      <c r="D716" s="50" t="s">
        <v>1030</v>
      </c>
      <c r="E716" s="101">
        <v>153000</v>
      </c>
      <c r="F716" s="101">
        <v>122400</v>
      </c>
      <c r="G716" s="133">
        <v>30600</v>
      </c>
      <c r="H716" s="50" t="s">
        <v>17</v>
      </c>
      <c r="I716" s="50" t="s">
        <v>74</v>
      </c>
      <c r="J716" s="52">
        <v>46178</v>
      </c>
      <c r="K716" s="52">
        <v>46234</v>
      </c>
      <c r="L716" s="134" t="s">
        <v>734</v>
      </c>
    </row>
    <row r="717" spans="1:12">
      <c r="A717" s="89">
        <v>660100</v>
      </c>
      <c r="B717" s="50">
        <v>0</v>
      </c>
      <c r="C717" s="89">
        <v>7798126081708</v>
      </c>
      <c r="D717" s="50" t="s">
        <v>1031</v>
      </c>
      <c r="E717" s="101">
        <v>17198.96</v>
      </c>
      <c r="F717" s="101">
        <v>13759.168</v>
      </c>
      <c r="G717" s="133">
        <v>3439.7919999999995</v>
      </c>
      <c r="H717" s="50" t="s">
        <v>17</v>
      </c>
      <c r="I717" s="50" t="s">
        <v>74</v>
      </c>
      <c r="J717" s="52">
        <v>46178</v>
      </c>
      <c r="K717" s="52">
        <v>46234</v>
      </c>
      <c r="L717" s="134" t="s">
        <v>734</v>
      </c>
    </row>
    <row r="718" spans="1:12">
      <c r="A718" s="89">
        <v>660101</v>
      </c>
      <c r="B718" s="50">
        <v>0</v>
      </c>
      <c r="C718" s="89">
        <v>7798126080787</v>
      </c>
      <c r="D718" s="50" t="s">
        <v>1032</v>
      </c>
      <c r="E718" s="101">
        <v>17103</v>
      </c>
      <c r="F718" s="101">
        <v>13682.400000000001</v>
      </c>
      <c r="G718" s="133">
        <v>3420.5999999999985</v>
      </c>
      <c r="H718" s="50" t="s">
        <v>17</v>
      </c>
      <c r="I718" s="50" t="s">
        <v>74</v>
      </c>
      <c r="J718" s="52">
        <v>46178</v>
      </c>
      <c r="K718" s="52">
        <v>46234</v>
      </c>
      <c r="L718" s="134" t="s">
        <v>734</v>
      </c>
    </row>
    <row r="719" spans="1:12">
      <c r="A719" s="89">
        <v>665500</v>
      </c>
      <c r="B719" s="50">
        <v>2024</v>
      </c>
      <c r="C719" s="89">
        <v>7798126084976</v>
      </c>
      <c r="D719" s="50" t="s">
        <v>1033</v>
      </c>
      <c r="E719" s="101">
        <v>27900.18</v>
      </c>
      <c r="F719" s="101">
        <v>22320.144</v>
      </c>
      <c r="G719" s="133">
        <v>5580.0360000000001</v>
      </c>
      <c r="H719" s="50" t="s">
        <v>17</v>
      </c>
      <c r="I719" s="50" t="s">
        <v>74</v>
      </c>
      <c r="J719" s="52">
        <v>46178</v>
      </c>
      <c r="K719" s="52">
        <v>46234</v>
      </c>
      <c r="L719" s="134" t="s">
        <v>734</v>
      </c>
    </row>
    <row r="720" spans="1:12">
      <c r="A720" s="89">
        <v>660099</v>
      </c>
      <c r="B720" s="50">
        <v>0</v>
      </c>
      <c r="C720" s="89">
        <v>7798126080459</v>
      </c>
      <c r="D720" s="50" t="s">
        <v>1034</v>
      </c>
      <c r="E720" s="101">
        <v>17676.45</v>
      </c>
      <c r="F720" s="101">
        <v>14141.160000000002</v>
      </c>
      <c r="G720" s="133">
        <v>3535.2899999999991</v>
      </c>
      <c r="H720" s="50" t="s">
        <v>17</v>
      </c>
      <c r="I720" s="50" t="s">
        <v>74</v>
      </c>
      <c r="J720" s="52">
        <v>46178</v>
      </c>
      <c r="K720" s="52">
        <v>46234</v>
      </c>
      <c r="L720" s="134" t="s">
        <v>734</v>
      </c>
    </row>
    <row r="721" spans="1:12">
      <c r="A721" s="89">
        <v>665499</v>
      </c>
      <c r="B721" s="50">
        <v>2023</v>
      </c>
      <c r="C721" s="89">
        <v>7798126084983</v>
      </c>
      <c r="D721" s="50" t="s">
        <v>1035</v>
      </c>
      <c r="E721" s="101">
        <v>15577.96</v>
      </c>
      <c r="F721" s="101">
        <v>12462.368</v>
      </c>
      <c r="G721" s="133">
        <v>3115.5919999999987</v>
      </c>
      <c r="H721" s="50" t="s">
        <v>17</v>
      </c>
      <c r="I721" s="50" t="s">
        <v>74</v>
      </c>
      <c r="J721" s="52">
        <v>46178</v>
      </c>
      <c r="K721" s="52">
        <v>46234</v>
      </c>
      <c r="L721" s="134" t="s">
        <v>734</v>
      </c>
    </row>
    <row r="722" spans="1:12">
      <c r="A722" s="89">
        <v>660386</v>
      </c>
      <c r="B722" s="50">
        <v>0</v>
      </c>
      <c r="C722" s="89">
        <v>7794450092090</v>
      </c>
      <c r="D722" s="50" t="s">
        <v>1036</v>
      </c>
      <c r="E722" s="101">
        <v>66910.149999999994</v>
      </c>
      <c r="F722" s="101">
        <v>53528.119999999995</v>
      </c>
      <c r="G722" s="133">
        <v>13382.029999999999</v>
      </c>
      <c r="H722" s="50" t="s">
        <v>17</v>
      </c>
      <c r="I722" s="50" t="s">
        <v>74</v>
      </c>
      <c r="J722" s="52">
        <v>46178</v>
      </c>
      <c r="K722" s="52">
        <v>46234</v>
      </c>
      <c r="L722" s="134" t="s">
        <v>734</v>
      </c>
    </row>
    <row r="723" spans="1:12">
      <c r="A723" s="89">
        <v>4511</v>
      </c>
      <c r="B723" s="50">
        <v>54547</v>
      </c>
      <c r="C723" s="89">
        <v>7790093675775</v>
      </c>
      <c r="D723" s="50" t="s">
        <v>1037</v>
      </c>
      <c r="E723" s="101">
        <v>5502.7470000000003</v>
      </c>
      <c r="F723" s="101">
        <v>4402.1976000000004</v>
      </c>
      <c r="G723" s="133">
        <v>1100.5493999999999</v>
      </c>
      <c r="H723" s="50" t="s">
        <v>17</v>
      </c>
      <c r="I723" s="50" t="s">
        <v>74</v>
      </c>
      <c r="J723" s="52">
        <v>46178</v>
      </c>
      <c r="K723" s="52">
        <v>46234</v>
      </c>
      <c r="L723" s="134" t="s">
        <v>734</v>
      </c>
    </row>
    <row r="724" spans="1:12">
      <c r="A724" s="89">
        <v>3443</v>
      </c>
      <c r="B724" s="50">
        <v>54555</v>
      </c>
      <c r="C724" s="89">
        <v>7790093630743</v>
      </c>
      <c r="D724" s="50" t="s">
        <v>1038</v>
      </c>
      <c r="E724" s="101">
        <v>5502.7470000000003</v>
      </c>
      <c r="F724" s="101">
        <v>4402.1976000000004</v>
      </c>
      <c r="G724" s="133">
        <v>1100.5493999999999</v>
      </c>
      <c r="H724" s="50" t="s">
        <v>17</v>
      </c>
      <c r="I724" s="50" t="s">
        <v>74</v>
      </c>
      <c r="J724" s="52">
        <v>46178</v>
      </c>
      <c r="K724" s="52">
        <v>46234</v>
      </c>
      <c r="L724" s="134" t="s">
        <v>734</v>
      </c>
    </row>
    <row r="725" spans="1:12">
      <c r="A725" s="89">
        <v>4464</v>
      </c>
      <c r="B725" s="50">
        <v>54548</v>
      </c>
      <c r="C725" s="89">
        <v>7790093675782</v>
      </c>
      <c r="D725" s="50" t="s">
        <v>1039</v>
      </c>
      <c r="E725" s="101">
        <v>5502.7470000000003</v>
      </c>
      <c r="F725" s="101">
        <v>4402.1976000000004</v>
      </c>
      <c r="G725" s="133">
        <v>1100.5493999999999</v>
      </c>
      <c r="H725" s="50" t="s">
        <v>17</v>
      </c>
      <c r="I725" s="50" t="s">
        <v>74</v>
      </c>
      <c r="J725" s="52">
        <v>46178</v>
      </c>
      <c r="K725" s="52">
        <v>46234</v>
      </c>
      <c r="L725" s="134" t="s">
        <v>734</v>
      </c>
    </row>
    <row r="726" spans="1:12">
      <c r="A726" s="89">
        <v>10328</v>
      </c>
      <c r="B726" s="50">
        <v>10181</v>
      </c>
      <c r="C726" s="89">
        <v>7790093095238</v>
      </c>
      <c r="D726" s="50" t="s">
        <v>1040</v>
      </c>
      <c r="E726" s="101">
        <v>8827.5049999999992</v>
      </c>
      <c r="F726" s="101">
        <v>7062.0039999999999</v>
      </c>
      <c r="G726" s="133">
        <v>1765.5009999999993</v>
      </c>
      <c r="H726" s="50" t="s">
        <v>17</v>
      </c>
      <c r="I726" s="50" t="s">
        <v>74</v>
      </c>
      <c r="J726" s="52">
        <v>46178</v>
      </c>
      <c r="K726" s="52">
        <v>46234</v>
      </c>
      <c r="L726" s="134" t="s">
        <v>734</v>
      </c>
    </row>
    <row r="727" spans="1:12">
      <c r="A727" s="89">
        <v>10305</v>
      </c>
      <c r="B727" s="50">
        <v>54549</v>
      </c>
      <c r="C727" s="89">
        <v>7790093695228</v>
      </c>
      <c r="D727" s="50" t="s">
        <v>1041</v>
      </c>
      <c r="E727" s="101">
        <v>8827.5049999999992</v>
      </c>
      <c r="F727" s="101">
        <v>7062.0039999999999</v>
      </c>
      <c r="G727" s="133">
        <v>1765.5009999999993</v>
      </c>
      <c r="H727" s="50" t="s">
        <v>17</v>
      </c>
      <c r="I727" s="50" t="s">
        <v>74</v>
      </c>
      <c r="J727" s="52">
        <v>46178</v>
      </c>
      <c r="K727" s="52">
        <v>46234</v>
      </c>
      <c r="L727" s="134" t="s">
        <v>734</v>
      </c>
    </row>
    <row r="728" spans="1:12">
      <c r="A728" s="89">
        <v>664313</v>
      </c>
      <c r="B728" s="50">
        <v>10183</v>
      </c>
      <c r="C728" s="89">
        <v>7790093095245</v>
      </c>
      <c r="D728" s="50" t="s">
        <v>1042</v>
      </c>
      <c r="E728" s="101">
        <v>8827.5049999999992</v>
      </c>
      <c r="F728" s="101">
        <v>7062.0039999999999</v>
      </c>
      <c r="G728" s="133">
        <v>1765.5009999999993</v>
      </c>
      <c r="H728" s="50" t="s">
        <v>17</v>
      </c>
      <c r="I728" s="50" t="s">
        <v>74</v>
      </c>
      <c r="J728" s="52">
        <v>46178</v>
      </c>
      <c r="K728" s="52">
        <v>46234</v>
      </c>
      <c r="L728" s="134" t="s">
        <v>734</v>
      </c>
    </row>
    <row r="729" spans="1:12">
      <c r="A729" s="89">
        <v>12461</v>
      </c>
      <c r="B729" s="50">
        <v>54546</v>
      </c>
      <c r="C729" s="89">
        <v>7790093621123</v>
      </c>
      <c r="D729" s="50" t="s">
        <v>1043</v>
      </c>
      <c r="E729" s="101">
        <v>5502.7470000000003</v>
      </c>
      <c r="F729" s="101">
        <v>4402.1976000000004</v>
      </c>
      <c r="G729" s="133">
        <v>1100.5493999999999</v>
      </c>
      <c r="H729" s="50" t="s">
        <v>17</v>
      </c>
      <c r="I729" s="50" t="s">
        <v>74</v>
      </c>
      <c r="J729" s="52">
        <v>46178</v>
      </c>
      <c r="K729" s="52">
        <v>46234</v>
      </c>
      <c r="L729" s="134" t="s">
        <v>734</v>
      </c>
    </row>
    <row r="730" spans="1:12">
      <c r="A730" s="89">
        <v>664312</v>
      </c>
      <c r="B730" s="50">
        <v>54543</v>
      </c>
      <c r="C730" s="89">
        <v>7790093521768</v>
      </c>
      <c r="D730" s="50" t="s">
        <v>1044</v>
      </c>
      <c r="E730" s="101">
        <v>5502.7470000000003</v>
      </c>
      <c r="F730" s="101">
        <v>4402.1976000000004</v>
      </c>
      <c r="G730" s="133">
        <v>1100.5493999999999</v>
      </c>
      <c r="H730" s="50" t="s">
        <v>17</v>
      </c>
      <c r="I730" s="50" t="s">
        <v>74</v>
      </c>
      <c r="J730" s="52">
        <v>46178</v>
      </c>
      <c r="K730" s="52">
        <v>46234</v>
      </c>
      <c r="L730" s="134" t="s">
        <v>734</v>
      </c>
    </row>
    <row r="731" spans="1:12">
      <c r="A731" s="89">
        <v>645</v>
      </c>
      <c r="B731" s="50" t="s">
        <v>1045</v>
      </c>
      <c r="C731" s="89">
        <v>7798108836241</v>
      </c>
      <c r="D731" s="50" t="s">
        <v>1046</v>
      </c>
      <c r="E731" s="101">
        <v>4396.4549999999999</v>
      </c>
      <c r="F731" s="101">
        <v>3517.1640000000002</v>
      </c>
      <c r="G731" s="133">
        <v>879.29099999999971</v>
      </c>
      <c r="H731" s="50" t="s">
        <v>17</v>
      </c>
      <c r="I731" s="50" t="s">
        <v>74</v>
      </c>
      <c r="J731" s="52">
        <v>46178</v>
      </c>
      <c r="K731" s="52">
        <v>46234</v>
      </c>
      <c r="L731" s="134" t="s">
        <v>734</v>
      </c>
    </row>
    <row r="732" spans="1:12">
      <c r="A732" s="89">
        <v>9788</v>
      </c>
      <c r="B732" s="50" t="s">
        <v>1047</v>
      </c>
      <c r="C732" s="89">
        <v>7798108836708</v>
      </c>
      <c r="D732" s="50" t="s">
        <v>1048</v>
      </c>
      <c r="E732" s="101">
        <v>4363.0559999999996</v>
      </c>
      <c r="F732" s="101">
        <v>3490.4447999999998</v>
      </c>
      <c r="G732" s="133">
        <v>872.61119999999983</v>
      </c>
      <c r="H732" s="50" t="s">
        <v>17</v>
      </c>
      <c r="I732" s="50" t="s">
        <v>74</v>
      </c>
      <c r="J732" s="52">
        <v>46178</v>
      </c>
      <c r="K732" s="52">
        <v>46234</v>
      </c>
      <c r="L732" s="134" t="s">
        <v>734</v>
      </c>
    </row>
    <row r="733" spans="1:12">
      <c r="A733" s="89">
        <v>663916</v>
      </c>
      <c r="B733" s="50" t="s">
        <v>1049</v>
      </c>
      <c r="C733" s="89">
        <v>7798108834445</v>
      </c>
      <c r="D733" s="50" t="s">
        <v>1050</v>
      </c>
      <c r="E733" s="101">
        <v>4363.0559999999996</v>
      </c>
      <c r="F733" s="101">
        <v>3490.4447999999998</v>
      </c>
      <c r="G733" s="133">
        <v>872.61119999999983</v>
      </c>
      <c r="H733" s="50" t="s">
        <v>17</v>
      </c>
      <c r="I733" s="50" t="s">
        <v>74</v>
      </c>
      <c r="J733" s="52">
        <v>46178</v>
      </c>
      <c r="K733" s="52">
        <v>46234</v>
      </c>
      <c r="L733" s="134" t="s">
        <v>734</v>
      </c>
    </row>
    <row r="734" spans="1:12">
      <c r="A734" s="89">
        <v>662863</v>
      </c>
      <c r="B734" s="50">
        <v>10010030249</v>
      </c>
      <c r="C734" s="89">
        <v>7791843022511</v>
      </c>
      <c r="D734" s="50" t="s">
        <v>1051</v>
      </c>
      <c r="E734" s="101">
        <v>4109.2659999999996</v>
      </c>
      <c r="F734" s="101">
        <v>3287.4128000000001</v>
      </c>
      <c r="G734" s="133">
        <v>821.85319999999956</v>
      </c>
      <c r="H734" s="50" t="s">
        <v>17</v>
      </c>
      <c r="I734" s="50" t="s">
        <v>74</v>
      </c>
      <c r="J734" s="52">
        <v>46178</v>
      </c>
      <c r="K734" s="52">
        <v>46234</v>
      </c>
      <c r="L734" s="134" t="s">
        <v>734</v>
      </c>
    </row>
    <row r="735" spans="1:12">
      <c r="A735" s="89">
        <v>13307</v>
      </c>
      <c r="B735" s="50">
        <v>10010051122</v>
      </c>
      <c r="C735" s="89">
        <v>7791843011607</v>
      </c>
      <c r="D735" s="50" t="s">
        <v>1052</v>
      </c>
      <c r="E735" s="101">
        <v>5213.3379999999997</v>
      </c>
      <c r="F735" s="101">
        <v>4170.6704</v>
      </c>
      <c r="G735" s="133">
        <v>1042.6675999999998</v>
      </c>
      <c r="H735" s="50" t="s">
        <v>17</v>
      </c>
      <c r="I735" s="50" t="s">
        <v>74</v>
      </c>
      <c r="J735" s="52">
        <v>46178</v>
      </c>
      <c r="K735" s="52">
        <v>46234</v>
      </c>
      <c r="L735" s="134" t="s">
        <v>734</v>
      </c>
    </row>
    <row r="736" spans="1:12">
      <c r="A736" s="89">
        <v>1857</v>
      </c>
      <c r="B736" s="50">
        <v>10010051022</v>
      </c>
      <c r="C736" s="89">
        <v>7791843011638</v>
      </c>
      <c r="D736" s="50" t="s">
        <v>1053</v>
      </c>
      <c r="E736" s="101">
        <v>5213.3379999999997</v>
      </c>
      <c r="F736" s="101">
        <v>4170.6704</v>
      </c>
      <c r="G736" s="133">
        <v>1042.6675999999998</v>
      </c>
      <c r="H736" s="50" t="s">
        <v>17</v>
      </c>
      <c r="I736" s="50" t="s">
        <v>74</v>
      </c>
      <c r="J736" s="52">
        <v>46178</v>
      </c>
      <c r="K736" s="52">
        <v>46234</v>
      </c>
      <c r="L736" s="134" t="s">
        <v>734</v>
      </c>
    </row>
    <row r="737" spans="1:12">
      <c r="A737" s="89">
        <v>14142</v>
      </c>
      <c r="B737" s="50">
        <v>10010024222</v>
      </c>
      <c r="C737" s="89">
        <v>7791843011881</v>
      </c>
      <c r="D737" s="50" t="s">
        <v>1054</v>
      </c>
      <c r="E737" s="101">
        <v>4491.7129999999997</v>
      </c>
      <c r="F737" s="101">
        <v>3593.3703999999998</v>
      </c>
      <c r="G737" s="133">
        <v>898.34259999999995</v>
      </c>
      <c r="H737" s="50" t="s">
        <v>17</v>
      </c>
      <c r="I737" s="50" t="s">
        <v>74</v>
      </c>
      <c r="J737" s="52">
        <v>46178</v>
      </c>
      <c r="K737" s="52">
        <v>46234</v>
      </c>
      <c r="L737" s="134" t="s">
        <v>734</v>
      </c>
    </row>
    <row r="738" spans="1:12">
      <c r="A738" s="89">
        <v>11223</v>
      </c>
      <c r="B738" s="50">
        <v>190750</v>
      </c>
      <c r="C738" s="89">
        <v>7790415130517</v>
      </c>
      <c r="D738" s="50" t="s">
        <v>1055</v>
      </c>
      <c r="E738" s="101">
        <v>5579.9989999999998</v>
      </c>
      <c r="F738" s="101">
        <v>4463.9992000000002</v>
      </c>
      <c r="G738" s="133">
        <v>1115.9997999999996</v>
      </c>
      <c r="H738" s="50" t="s">
        <v>17</v>
      </c>
      <c r="I738" s="50" t="s">
        <v>74</v>
      </c>
      <c r="J738" s="52">
        <v>46178</v>
      </c>
      <c r="K738" s="52">
        <v>46234</v>
      </c>
      <c r="L738" s="134" t="s">
        <v>734</v>
      </c>
    </row>
    <row r="739" spans="1:12">
      <c r="A739" s="89">
        <v>666473</v>
      </c>
      <c r="B739" s="50">
        <v>100191427</v>
      </c>
      <c r="C739" s="89">
        <v>7791728247022</v>
      </c>
      <c r="D739" s="50" t="s">
        <v>1056</v>
      </c>
      <c r="E739" s="101">
        <v>40050.01</v>
      </c>
      <c r="F739" s="101">
        <v>32040.008000000002</v>
      </c>
      <c r="G739" s="133">
        <v>8010.0020000000004</v>
      </c>
      <c r="H739" s="50" t="s">
        <v>17</v>
      </c>
      <c r="I739" s="50" t="s">
        <v>74</v>
      </c>
      <c r="J739" s="52">
        <v>46178</v>
      </c>
      <c r="K739" s="52">
        <v>46234</v>
      </c>
      <c r="L739" s="134" t="s">
        <v>734</v>
      </c>
    </row>
    <row r="740" spans="1:12">
      <c r="A740" s="89">
        <v>662862</v>
      </c>
      <c r="B740" s="50">
        <v>10010056722</v>
      </c>
      <c r="C740" s="89">
        <v>7791843020753</v>
      </c>
      <c r="D740" s="50" t="s">
        <v>1057</v>
      </c>
      <c r="E740" s="101">
        <v>6505.9139999999998</v>
      </c>
      <c r="F740" s="101">
        <v>5204.7312000000002</v>
      </c>
      <c r="G740" s="133">
        <v>1301.1827999999996</v>
      </c>
      <c r="H740" s="50" t="s">
        <v>17</v>
      </c>
      <c r="I740" s="50" t="s">
        <v>74</v>
      </c>
      <c r="J740" s="52">
        <v>46178</v>
      </c>
      <c r="K740" s="52">
        <v>46234</v>
      </c>
      <c r="L740" s="134" t="s">
        <v>734</v>
      </c>
    </row>
    <row r="741" spans="1:12">
      <c r="A741" s="89">
        <v>664824</v>
      </c>
      <c r="B741" s="50">
        <v>10010069822</v>
      </c>
      <c r="C741" s="89">
        <v>7791843025062</v>
      </c>
      <c r="D741" s="50" t="s">
        <v>1058</v>
      </c>
      <c r="E741" s="101">
        <v>6505.9139999999998</v>
      </c>
      <c r="F741" s="101">
        <v>5204.7312000000002</v>
      </c>
      <c r="G741" s="133">
        <v>1301.1827999999996</v>
      </c>
      <c r="H741" s="50" t="s">
        <v>17</v>
      </c>
      <c r="I741" s="50" t="s">
        <v>74</v>
      </c>
      <c r="J741" s="52">
        <v>46178</v>
      </c>
      <c r="K741" s="52">
        <v>46234</v>
      </c>
      <c r="L741" s="134" t="s">
        <v>734</v>
      </c>
    </row>
    <row r="742" spans="1:12">
      <c r="A742" s="89">
        <v>663249</v>
      </c>
      <c r="B742" s="50">
        <v>10010058322</v>
      </c>
      <c r="C742" s="89">
        <v>7791843020777</v>
      </c>
      <c r="D742" s="50" t="s">
        <v>1059</v>
      </c>
      <c r="E742" s="101">
        <v>8419.8449999999993</v>
      </c>
      <c r="F742" s="101">
        <v>6735.8760000000002</v>
      </c>
      <c r="G742" s="133">
        <v>1683.9689999999991</v>
      </c>
      <c r="H742" s="50" t="s">
        <v>17</v>
      </c>
      <c r="I742" s="50" t="s">
        <v>74</v>
      </c>
      <c r="J742" s="52">
        <v>46178</v>
      </c>
      <c r="K742" s="52">
        <v>46234</v>
      </c>
      <c r="L742" s="134" t="s">
        <v>734</v>
      </c>
    </row>
    <row r="743" spans="1:12">
      <c r="A743" s="89">
        <v>662207</v>
      </c>
      <c r="B743" s="50" t="s">
        <v>1060</v>
      </c>
      <c r="C743" s="89">
        <v>7798078237635</v>
      </c>
      <c r="D743" s="50" t="s">
        <v>1061</v>
      </c>
      <c r="E743" s="101">
        <v>15750.01</v>
      </c>
      <c r="F743" s="101">
        <v>12600.008000000002</v>
      </c>
      <c r="G743" s="133">
        <v>3150.0019999999986</v>
      </c>
      <c r="H743" s="50" t="s">
        <v>17</v>
      </c>
      <c r="I743" s="50" t="s">
        <v>74</v>
      </c>
      <c r="J743" s="52">
        <v>46178</v>
      </c>
      <c r="K743" s="52">
        <v>46234</v>
      </c>
      <c r="L743" s="134" t="s">
        <v>734</v>
      </c>
    </row>
    <row r="744" spans="1:12">
      <c r="A744" s="89">
        <v>661214</v>
      </c>
      <c r="B744" s="50" t="s">
        <v>1062</v>
      </c>
      <c r="C744" s="89">
        <v>7798108833424</v>
      </c>
      <c r="D744" s="50" t="s">
        <v>1063</v>
      </c>
      <c r="E744" s="101">
        <v>6248.7749999999996</v>
      </c>
      <c r="F744" s="101">
        <v>4999.0200000000004</v>
      </c>
      <c r="G744" s="133">
        <v>1249.7549999999992</v>
      </c>
      <c r="H744" s="50" t="s">
        <v>17</v>
      </c>
      <c r="I744" s="50" t="s">
        <v>74</v>
      </c>
      <c r="J744" s="52">
        <v>46178</v>
      </c>
      <c r="K744" s="52">
        <v>46234</v>
      </c>
      <c r="L744" s="134" t="s">
        <v>734</v>
      </c>
    </row>
    <row r="745" spans="1:12">
      <c r="A745" s="89">
        <v>661216</v>
      </c>
      <c r="B745" s="50" t="s">
        <v>1064</v>
      </c>
      <c r="C745" s="89">
        <v>7798108833400</v>
      </c>
      <c r="D745" s="50" t="s">
        <v>1065</v>
      </c>
      <c r="E745" s="101">
        <v>6248.7749999999996</v>
      </c>
      <c r="F745" s="101">
        <v>4999.0200000000004</v>
      </c>
      <c r="G745" s="133">
        <v>1249.7549999999992</v>
      </c>
      <c r="H745" s="50" t="s">
        <v>17</v>
      </c>
      <c r="I745" s="50" t="s">
        <v>74</v>
      </c>
      <c r="J745" s="52">
        <v>46178</v>
      </c>
      <c r="K745" s="52">
        <v>46234</v>
      </c>
      <c r="L745" s="134" t="s">
        <v>734</v>
      </c>
    </row>
    <row r="746" spans="1:12">
      <c r="A746" s="89">
        <v>661215</v>
      </c>
      <c r="B746" s="50" t="s">
        <v>1066</v>
      </c>
      <c r="C746" s="89">
        <v>7798108833387</v>
      </c>
      <c r="D746" s="50" t="s">
        <v>1067</v>
      </c>
      <c r="E746" s="101">
        <v>6248.7749999999996</v>
      </c>
      <c r="F746" s="101">
        <v>4999.0200000000004</v>
      </c>
      <c r="G746" s="133">
        <v>1249.7549999999992</v>
      </c>
      <c r="H746" s="50" t="s">
        <v>17</v>
      </c>
      <c r="I746" s="50" t="s">
        <v>74</v>
      </c>
      <c r="J746" s="52">
        <v>46178</v>
      </c>
      <c r="K746" s="52">
        <v>46234</v>
      </c>
      <c r="L746" s="134" t="s">
        <v>734</v>
      </c>
    </row>
    <row r="747" spans="1:12">
      <c r="A747" s="89">
        <v>662249</v>
      </c>
      <c r="B747" s="50">
        <v>25769</v>
      </c>
      <c r="C747" s="89">
        <v>7790717153849</v>
      </c>
      <c r="D747" s="50" t="s">
        <v>1068</v>
      </c>
      <c r="E747" s="101">
        <v>7056.6809999999996</v>
      </c>
      <c r="F747" s="101">
        <v>5645.3447999999999</v>
      </c>
      <c r="G747" s="133">
        <v>1411.3361999999997</v>
      </c>
      <c r="H747" s="50" t="s">
        <v>17</v>
      </c>
      <c r="I747" s="50" t="s">
        <v>74</v>
      </c>
      <c r="J747" s="52">
        <v>46178</v>
      </c>
      <c r="K747" s="52">
        <v>46234</v>
      </c>
      <c r="L747" s="134" t="s">
        <v>734</v>
      </c>
    </row>
    <row r="748" spans="1:12">
      <c r="A748" s="89">
        <v>662196</v>
      </c>
      <c r="B748" s="50">
        <v>22456</v>
      </c>
      <c r="C748" s="89">
        <v>7790717151081</v>
      </c>
      <c r="D748" s="50" t="s">
        <v>1069</v>
      </c>
      <c r="E748" s="101">
        <v>7056.6809999999996</v>
      </c>
      <c r="F748" s="101">
        <v>5645.3447999999999</v>
      </c>
      <c r="G748" s="133">
        <v>1411.3361999999997</v>
      </c>
      <c r="H748" s="50" t="s">
        <v>17</v>
      </c>
      <c r="I748" s="50" t="s">
        <v>74</v>
      </c>
      <c r="J748" s="52">
        <v>46178</v>
      </c>
      <c r="K748" s="52">
        <v>46234</v>
      </c>
      <c r="L748" s="134" t="s">
        <v>734</v>
      </c>
    </row>
    <row r="749" spans="1:12">
      <c r="A749" s="89">
        <v>6749</v>
      </c>
      <c r="B749" s="50">
        <v>22478</v>
      </c>
      <c r="C749" s="89">
        <v>7790717151074</v>
      </c>
      <c r="D749" s="50" t="s">
        <v>1070</v>
      </c>
      <c r="E749" s="101">
        <v>7056.6809999999996</v>
      </c>
      <c r="F749" s="101">
        <v>5645.3447999999999</v>
      </c>
      <c r="G749" s="133">
        <v>1411.3361999999997</v>
      </c>
      <c r="H749" s="50" t="s">
        <v>17</v>
      </c>
      <c r="I749" s="50" t="s">
        <v>74</v>
      </c>
      <c r="J749" s="52">
        <v>46178</v>
      </c>
      <c r="K749" s="52">
        <v>46234</v>
      </c>
      <c r="L749" s="134" t="s">
        <v>734</v>
      </c>
    </row>
    <row r="750" spans="1:12">
      <c r="A750" s="89">
        <v>13535</v>
      </c>
      <c r="B750" s="50">
        <v>22457</v>
      </c>
      <c r="C750" s="89">
        <v>7790717151104</v>
      </c>
      <c r="D750" s="50" t="s">
        <v>1071</v>
      </c>
      <c r="E750" s="101">
        <v>7056.6809999999996</v>
      </c>
      <c r="F750" s="101">
        <v>5645.3447999999999</v>
      </c>
      <c r="G750" s="133">
        <v>1411.3361999999997</v>
      </c>
      <c r="H750" s="50" t="s">
        <v>17</v>
      </c>
      <c r="I750" s="50" t="s">
        <v>74</v>
      </c>
      <c r="J750" s="52">
        <v>46178</v>
      </c>
      <c r="K750" s="52">
        <v>46234</v>
      </c>
      <c r="L750" s="134" t="s">
        <v>734</v>
      </c>
    </row>
    <row r="751" spans="1:12">
      <c r="A751" s="89">
        <v>661745</v>
      </c>
      <c r="B751" s="50">
        <v>25772</v>
      </c>
      <c r="C751" s="89">
        <v>7790717153856</v>
      </c>
      <c r="D751" s="50" t="s">
        <v>1072</v>
      </c>
      <c r="E751" s="101">
        <v>14206.17</v>
      </c>
      <c r="F751" s="101">
        <v>11364.936000000002</v>
      </c>
      <c r="G751" s="133">
        <v>2841.2339999999986</v>
      </c>
      <c r="H751" s="50" t="s">
        <v>17</v>
      </c>
      <c r="I751" s="50" t="s">
        <v>74</v>
      </c>
      <c r="J751" s="52">
        <v>46178</v>
      </c>
      <c r="K751" s="52">
        <v>46234</v>
      </c>
      <c r="L751" s="134" t="s">
        <v>734</v>
      </c>
    </row>
    <row r="752" spans="1:12">
      <c r="A752" s="89">
        <v>661744</v>
      </c>
      <c r="B752" s="50">
        <v>25771</v>
      </c>
      <c r="C752" s="89">
        <v>7790717153863</v>
      </c>
      <c r="D752" s="50" t="s">
        <v>1073</v>
      </c>
      <c r="E752" s="101">
        <v>14206.17</v>
      </c>
      <c r="F752" s="101">
        <v>11364.936000000002</v>
      </c>
      <c r="G752" s="133">
        <v>2841.2339999999986</v>
      </c>
      <c r="H752" s="50" t="s">
        <v>17</v>
      </c>
      <c r="I752" s="50" t="s">
        <v>74</v>
      </c>
      <c r="J752" s="52">
        <v>46178</v>
      </c>
      <c r="K752" s="52">
        <v>46234</v>
      </c>
      <c r="L752" s="134" t="s">
        <v>734</v>
      </c>
    </row>
    <row r="753" spans="1:12">
      <c r="A753" s="89">
        <v>6809</v>
      </c>
      <c r="B753" s="50">
        <v>22459</v>
      </c>
      <c r="C753" s="89">
        <v>7790717151135</v>
      </c>
      <c r="D753" s="50" t="s">
        <v>1074</v>
      </c>
      <c r="E753" s="101">
        <v>7056.6809999999996</v>
      </c>
      <c r="F753" s="101">
        <v>5645.3447999999999</v>
      </c>
      <c r="G753" s="133">
        <v>1411.3361999999997</v>
      </c>
      <c r="H753" s="50" t="s">
        <v>17</v>
      </c>
      <c r="I753" s="50" t="s">
        <v>74</v>
      </c>
      <c r="J753" s="52">
        <v>46178</v>
      </c>
      <c r="K753" s="52">
        <v>46234</v>
      </c>
      <c r="L753" s="134" t="s">
        <v>734</v>
      </c>
    </row>
    <row r="754" spans="1:12">
      <c r="A754" s="89">
        <v>661742</v>
      </c>
      <c r="B754" s="50">
        <v>22463</v>
      </c>
      <c r="C754" s="89">
        <v>7790717001218</v>
      </c>
      <c r="D754" s="50" t="s">
        <v>1075</v>
      </c>
      <c r="E754" s="101">
        <v>14206.17</v>
      </c>
      <c r="F754" s="101">
        <v>11364.936000000002</v>
      </c>
      <c r="G754" s="133">
        <v>2841.2339999999986</v>
      </c>
      <c r="H754" s="50" t="s">
        <v>17</v>
      </c>
      <c r="I754" s="50" t="s">
        <v>74</v>
      </c>
      <c r="J754" s="52">
        <v>46178</v>
      </c>
      <c r="K754" s="52">
        <v>46234</v>
      </c>
      <c r="L754" s="134" t="s">
        <v>734</v>
      </c>
    </row>
    <row r="755" spans="1:12">
      <c r="A755" s="89">
        <v>1947</v>
      </c>
      <c r="B755" s="50">
        <v>535</v>
      </c>
      <c r="C755" s="89">
        <v>7790415129085</v>
      </c>
      <c r="D755" s="50" t="s">
        <v>1076</v>
      </c>
      <c r="E755" s="101">
        <v>12089.1</v>
      </c>
      <c r="F755" s="101">
        <v>9671.2800000000007</v>
      </c>
      <c r="G755" s="133">
        <v>2417.8199999999997</v>
      </c>
      <c r="H755" s="50" t="s">
        <v>17</v>
      </c>
      <c r="I755" s="50" t="s">
        <v>74</v>
      </c>
      <c r="J755" s="52">
        <v>46178</v>
      </c>
      <c r="K755" s="52">
        <v>46234</v>
      </c>
      <c r="L755" s="134" t="s">
        <v>734</v>
      </c>
    </row>
    <row r="756" spans="1:12">
      <c r="A756" s="89">
        <v>14074</v>
      </c>
      <c r="B756" s="50">
        <v>588</v>
      </c>
      <c r="C756" s="89">
        <v>7790415004610</v>
      </c>
      <c r="D756" s="50" t="s">
        <v>1077</v>
      </c>
      <c r="E756" s="101">
        <v>19065</v>
      </c>
      <c r="F756" s="101">
        <v>15252</v>
      </c>
      <c r="G756" s="133">
        <v>3813</v>
      </c>
      <c r="H756" s="50" t="s">
        <v>17</v>
      </c>
      <c r="I756" s="50" t="s">
        <v>74</v>
      </c>
      <c r="J756" s="52">
        <v>46178</v>
      </c>
      <c r="K756" s="52">
        <v>46234</v>
      </c>
      <c r="L756" s="134" t="s">
        <v>734</v>
      </c>
    </row>
    <row r="757" spans="1:12">
      <c r="A757" s="89">
        <v>14073</v>
      </c>
      <c r="B757" s="50">
        <v>555</v>
      </c>
      <c r="C757" s="89">
        <v>7790415004351</v>
      </c>
      <c r="D757" s="50" t="s">
        <v>1078</v>
      </c>
      <c r="E757" s="101">
        <v>19065</v>
      </c>
      <c r="F757" s="101">
        <v>15252</v>
      </c>
      <c r="G757" s="133">
        <v>3813</v>
      </c>
      <c r="H757" s="50" t="s">
        <v>17</v>
      </c>
      <c r="I757" s="50" t="s">
        <v>74</v>
      </c>
      <c r="J757" s="52">
        <v>46178</v>
      </c>
      <c r="K757" s="52">
        <v>46234</v>
      </c>
      <c r="L757" s="134" t="s">
        <v>734</v>
      </c>
    </row>
    <row r="758" spans="1:12">
      <c r="A758" s="89">
        <v>18144</v>
      </c>
      <c r="B758" s="50">
        <v>560</v>
      </c>
      <c r="C758" s="89">
        <v>7790415001916</v>
      </c>
      <c r="D758" s="50" t="s">
        <v>1079</v>
      </c>
      <c r="E758" s="101">
        <v>19065</v>
      </c>
      <c r="F758" s="101">
        <v>15252</v>
      </c>
      <c r="G758" s="133">
        <v>3813</v>
      </c>
      <c r="H758" s="50" t="s">
        <v>17</v>
      </c>
      <c r="I758" s="50" t="s">
        <v>74</v>
      </c>
      <c r="J758" s="52">
        <v>46178</v>
      </c>
      <c r="K758" s="52">
        <v>46234</v>
      </c>
      <c r="L758" s="134" t="s">
        <v>734</v>
      </c>
    </row>
    <row r="759" spans="1:12">
      <c r="A759" s="89">
        <v>659685</v>
      </c>
      <c r="B759" s="50">
        <v>1700</v>
      </c>
      <c r="C759" s="89">
        <v>7790415131743</v>
      </c>
      <c r="D759" s="50" t="s">
        <v>1080</v>
      </c>
      <c r="E759" s="101">
        <v>19065</v>
      </c>
      <c r="F759" s="101">
        <v>15252</v>
      </c>
      <c r="G759" s="133">
        <v>3813</v>
      </c>
      <c r="H759" s="50" t="s">
        <v>17</v>
      </c>
      <c r="I759" s="50" t="s">
        <v>74</v>
      </c>
      <c r="J759" s="52">
        <v>46178</v>
      </c>
      <c r="K759" s="52">
        <v>46234</v>
      </c>
      <c r="L759" s="134" t="s">
        <v>734</v>
      </c>
    </row>
    <row r="760" spans="1:12">
      <c r="A760" s="89">
        <v>662553</v>
      </c>
      <c r="B760" s="50">
        <v>576</v>
      </c>
      <c r="C760" s="89">
        <v>6625531111113</v>
      </c>
      <c r="D760" s="50" t="s">
        <v>1081</v>
      </c>
      <c r="E760" s="101">
        <v>12090</v>
      </c>
      <c r="F760" s="101">
        <v>9672</v>
      </c>
      <c r="G760" s="133">
        <v>2418</v>
      </c>
      <c r="H760" s="50" t="s">
        <v>17</v>
      </c>
      <c r="I760" s="50" t="s">
        <v>74</v>
      </c>
      <c r="J760" s="52">
        <v>46178</v>
      </c>
      <c r="K760" s="52">
        <v>46234</v>
      </c>
      <c r="L760" s="134" t="s">
        <v>734</v>
      </c>
    </row>
    <row r="761" spans="1:12">
      <c r="A761" s="89">
        <v>665253</v>
      </c>
      <c r="B761" s="50">
        <v>100187757</v>
      </c>
      <c r="C761" s="89">
        <v>7791728246124</v>
      </c>
      <c r="D761" s="50" t="s">
        <v>1082</v>
      </c>
      <c r="E761" s="101">
        <v>41400</v>
      </c>
      <c r="F761" s="101">
        <v>33120</v>
      </c>
      <c r="G761" s="133">
        <v>8280</v>
      </c>
      <c r="H761" s="50" t="s">
        <v>17</v>
      </c>
      <c r="I761" s="50" t="s">
        <v>74</v>
      </c>
      <c r="J761" s="52">
        <v>46178</v>
      </c>
      <c r="K761" s="52">
        <v>46234</v>
      </c>
      <c r="L761" s="134" t="s">
        <v>734</v>
      </c>
    </row>
    <row r="762" spans="1:12">
      <c r="A762" s="89">
        <v>2333</v>
      </c>
      <c r="B762" s="50">
        <v>50397</v>
      </c>
      <c r="C762" s="89">
        <v>7790093632723</v>
      </c>
      <c r="D762" s="50" t="s">
        <v>1083</v>
      </c>
      <c r="E762" s="101">
        <v>4853.2979999999998</v>
      </c>
      <c r="F762" s="101">
        <v>3882.6383999999998</v>
      </c>
      <c r="G762" s="133">
        <v>970.65959999999995</v>
      </c>
      <c r="H762" s="50" t="s">
        <v>17</v>
      </c>
      <c r="I762" s="50" t="s">
        <v>74</v>
      </c>
      <c r="J762" s="52">
        <v>46178</v>
      </c>
      <c r="K762" s="52">
        <v>46234</v>
      </c>
      <c r="L762" s="134" t="s">
        <v>734</v>
      </c>
    </row>
    <row r="763" spans="1:12">
      <c r="A763" s="89">
        <v>662742</v>
      </c>
      <c r="B763" s="50">
        <v>1347</v>
      </c>
      <c r="C763" s="89">
        <v>7798123971347</v>
      </c>
      <c r="D763" s="50" t="s">
        <v>1084</v>
      </c>
      <c r="E763" s="101">
        <v>16435.189999999999</v>
      </c>
      <c r="F763" s="101">
        <v>13148.152</v>
      </c>
      <c r="G763" s="133">
        <v>3287.0379999999986</v>
      </c>
      <c r="H763" s="50" t="s">
        <v>17</v>
      </c>
      <c r="I763" s="50" t="s">
        <v>74</v>
      </c>
      <c r="J763" s="52">
        <v>46178</v>
      </c>
      <c r="K763" s="52">
        <v>46234</v>
      </c>
      <c r="L763" s="134" t="s">
        <v>734</v>
      </c>
    </row>
    <row r="764" spans="1:12">
      <c r="A764" s="89">
        <v>663050</v>
      </c>
      <c r="B764" s="50">
        <v>1408</v>
      </c>
      <c r="C764" s="89">
        <v>7798123971408</v>
      </c>
      <c r="D764" s="50" t="s">
        <v>1085</v>
      </c>
      <c r="E764" s="101">
        <v>16435.187999999998</v>
      </c>
      <c r="F764" s="101">
        <v>13148.150399999999</v>
      </c>
      <c r="G764" s="133">
        <v>3287.0375999999997</v>
      </c>
      <c r="H764" s="50" t="s">
        <v>17</v>
      </c>
      <c r="I764" s="50" t="s">
        <v>74</v>
      </c>
      <c r="J764" s="52">
        <v>46178</v>
      </c>
      <c r="K764" s="52">
        <v>46234</v>
      </c>
      <c r="L764" s="134" t="s">
        <v>734</v>
      </c>
    </row>
    <row r="765" spans="1:12">
      <c r="A765" s="89">
        <v>660859</v>
      </c>
      <c r="B765" s="50">
        <v>4188</v>
      </c>
      <c r="C765" s="89">
        <v>7798123974188</v>
      </c>
      <c r="D765" s="50" t="s">
        <v>1086</v>
      </c>
      <c r="E765" s="101">
        <v>19569.38</v>
      </c>
      <c r="F765" s="101">
        <v>15655.504000000001</v>
      </c>
      <c r="G765" s="133">
        <v>3913.8760000000002</v>
      </c>
      <c r="H765" s="50" t="s">
        <v>17</v>
      </c>
      <c r="I765" s="50" t="s">
        <v>74</v>
      </c>
      <c r="J765" s="52">
        <v>46178</v>
      </c>
      <c r="K765" s="52">
        <v>46234</v>
      </c>
      <c r="L765" s="134" t="s">
        <v>734</v>
      </c>
    </row>
    <row r="766" spans="1:12">
      <c r="A766" s="89">
        <v>662743</v>
      </c>
      <c r="B766" s="50">
        <v>1545</v>
      </c>
      <c r="C766" s="89">
        <v>7798123971545</v>
      </c>
      <c r="D766" s="50" t="s">
        <v>1087</v>
      </c>
      <c r="E766" s="101">
        <v>16435.187999999998</v>
      </c>
      <c r="F766" s="101">
        <v>13148.150399999999</v>
      </c>
      <c r="G766" s="133">
        <v>3287.0375999999997</v>
      </c>
      <c r="H766" s="50" t="s">
        <v>17</v>
      </c>
      <c r="I766" s="50" t="s">
        <v>74</v>
      </c>
      <c r="J766" s="52">
        <v>46178</v>
      </c>
      <c r="K766" s="52">
        <v>46234</v>
      </c>
      <c r="L766" s="134" t="s">
        <v>734</v>
      </c>
    </row>
    <row r="767" spans="1:12">
      <c r="A767" s="89">
        <v>662741</v>
      </c>
      <c r="B767" s="50">
        <v>1392</v>
      </c>
      <c r="C767" s="89">
        <v>7798123971392</v>
      </c>
      <c r="D767" s="50" t="s">
        <v>1088</v>
      </c>
      <c r="E767" s="101">
        <v>16435.187999999998</v>
      </c>
      <c r="F767" s="101">
        <v>13148.150399999999</v>
      </c>
      <c r="G767" s="133">
        <v>3287.0375999999997</v>
      </c>
      <c r="H767" s="50" t="s">
        <v>17</v>
      </c>
      <c r="I767" s="50" t="s">
        <v>74</v>
      </c>
      <c r="J767" s="52">
        <v>46178</v>
      </c>
      <c r="K767" s="52">
        <v>46234</v>
      </c>
      <c r="L767" s="134" t="s">
        <v>734</v>
      </c>
    </row>
    <row r="768" spans="1:12">
      <c r="A768" s="89">
        <v>663879</v>
      </c>
      <c r="B768" s="50">
        <v>1187</v>
      </c>
      <c r="C768" s="89">
        <v>7798123971187</v>
      </c>
      <c r="D768" s="50" t="s">
        <v>1089</v>
      </c>
      <c r="E768" s="101">
        <v>16773.75</v>
      </c>
      <c r="F768" s="101">
        <v>13419</v>
      </c>
      <c r="G768" s="133">
        <v>3354.75</v>
      </c>
      <c r="H768" s="50" t="s">
        <v>17</v>
      </c>
      <c r="I768" s="50" t="s">
        <v>74</v>
      </c>
      <c r="J768" s="52">
        <v>46178</v>
      </c>
      <c r="K768" s="52">
        <v>46234</v>
      </c>
      <c r="L768" s="134" t="s">
        <v>734</v>
      </c>
    </row>
    <row r="769" spans="1:12">
      <c r="A769" s="89">
        <v>663048</v>
      </c>
      <c r="B769" s="50">
        <v>3822</v>
      </c>
      <c r="C769" s="89">
        <v>7798123973822</v>
      </c>
      <c r="D769" s="50" t="s">
        <v>1090</v>
      </c>
      <c r="E769" s="101">
        <v>16773.75</v>
      </c>
      <c r="F769" s="101">
        <v>13419</v>
      </c>
      <c r="G769" s="133">
        <v>3354.75</v>
      </c>
      <c r="H769" s="50" t="s">
        <v>17</v>
      </c>
      <c r="I769" s="50" t="s">
        <v>74</v>
      </c>
      <c r="J769" s="52">
        <v>46178</v>
      </c>
      <c r="K769" s="52">
        <v>46234</v>
      </c>
      <c r="L769" s="134" t="s">
        <v>734</v>
      </c>
    </row>
    <row r="770" spans="1:12">
      <c r="A770" s="89">
        <v>666519</v>
      </c>
      <c r="B770" s="50">
        <v>2901</v>
      </c>
      <c r="C770" s="89">
        <v>7798422330296</v>
      </c>
      <c r="D770" s="50" t="s">
        <v>1091</v>
      </c>
      <c r="E770" s="101">
        <v>4268.2460000000001</v>
      </c>
      <c r="F770" s="101">
        <v>3414.5968000000003</v>
      </c>
      <c r="G770" s="133">
        <v>853.64919999999984</v>
      </c>
      <c r="H770" s="50" t="s">
        <v>17</v>
      </c>
      <c r="I770" s="50" t="s">
        <v>74</v>
      </c>
      <c r="J770" s="52">
        <v>46178</v>
      </c>
      <c r="K770" s="52">
        <v>46234</v>
      </c>
      <c r="L770" s="134" t="s">
        <v>734</v>
      </c>
    </row>
    <row r="771" spans="1:12">
      <c r="A771" s="89">
        <v>14080</v>
      </c>
      <c r="B771" s="50">
        <v>415</v>
      </c>
      <c r="C771" s="89">
        <v>7790415128231</v>
      </c>
      <c r="D771" s="50" t="s">
        <v>1092</v>
      </c>
      <c r="E771" s="101">
        <v>7380.0079999999998</v>
      </c>
      <c r="F771" s="101">
        <v>5904.0064000000002</v>
      </c>
      <c r="G771" s="133">
        <v>1476.0015999999996</v>
      </c>
      <c r="H771" s="50" t="s">
        <v>17</v>
      </c>
      <c r="I771" s="50" t="s">
        <v>74</v>
      </c>
      <c r="J771" s="52">
        <v>46178</v>
      </c>
      <c r="K771" s="52">
        <v>46234</v>
      </c>
      <c r="L771" s="134" t="s">
        <v>734</v>
      </c>
    </row>
    <row r="772" spans="1:12">
      <c r="A772" s="89">
        <v>4124</v>
      </c>
      <c r="B772" s="50">
        <v>445</v>
      </c>
      <c r="C772" s="89">
        <v>7790415128033</v>
      </c>
      <c r="D772" s="50" t="s">
        <v>1093</v>
      </c>
      <c r="E772" s="101">
        <v>7380.0079999999998</v>
      </c>
      <c r="F772" s="101">
        <v>5904.0064000000002</v>
      </c>
      <c r="G772" s="133">
        <v>1476.0015999999996</v>
      </c>
      <c r="H772" s="50" t="s">
        <v>17</v>
      </c>
      <c r="I772" s="50" t="s">
        <v>74</v>
      </c>
      <c r="J772" s="52">
        <v>46178</v>
      </c>
      <c r="K772" s="52">
        <v>46234</v>
      </c>
      <c r="L772" s="134" t="s">
        <v>734</v>
      </c>
    </row>
    <row r="773" spans="1:12">
      <c r="A773" s="89">
        <v>665046</v>
      </c>
      <c r="B773" s="50">
        <v>0</v>
      </c>
      <c r="C773" s="89">
        <v>7791843025987</v>
      </c>
      <c r="D773" s="50" t="s">
        <v>1094</v>
      </c>
      <c r="E773" s="101">
        <v>8911.0360000000001</v>
      </c>
      <c r="F773" s="101">
        <v>7128.8288000000002</v>
      </c>
      <c r="G773" s="133">
        <v>1782.2071999999998</v>
      </c>
      <c r="H773" s="50" t="s">
        <v>17</v>
      </c>
      <c r="I773" s="50" t="s">
        <v>74</v>
      </c>
      <c r="J773" s="52">
        <v>46178</v>
      </c>
      <c r="K773" s="52">
        <v>46234</v>
      </c>
      <c r="L773" s="134" t="s">
        <v>734</v>
      </c>
    </row>
    <row r="774" spans="1:12">
      <c r="A774" s="89">
        <v>665048</v>
      </c>
      <c r="B774" s="50">
        <v>0</v>
      </c>
      <c r="C774" s="89">
        <v>7791843025963</v>
      </c>
      <c r="D774" s="50" t="s">
        <v>1095</v>
      </c>
      <c r="E774" s="101">
        <v>8911.0360000000001</v>
      </c>
      <c r="F774" s="101">
        <v>7128.8288000000002</v>
      </c>
      <c r="G774" s="133">
        <v>1782.2071999999998</v>
      </c>
      <c r="H774" s="50" t="s">
        <v>17</v>
      </c>
      <c r="I774" s="50" t="s">
        <v>74</v>
      </c>
      <c r="J774" s="52">
        <v>46178</v>
      </c>
      <c r="K774" s="52">
        <v>46234</v>
      </c>
      <c r="L774" s="134" t="s">
        <v>734</v>
      </c>
    </row>
    <row r="775" spans="1:12">
      <c r="A775" s="89">
        <v>665047</v>
      </c>
      <c r="B775" s="50">
        <v>0</v>
      </c>
      <c r="C775" s="89">
        <v>7791843025949</v>
      </c>
      <c r="D775" s="50" t="s">
        <v>1096</v>
      </c>
      <c r="E775" s="101">
        <v>8911.0360000000001</v>
      </c>
      <c r="F775" s="101">
        <v>7128.8288000000002</v>
      </c>
      <c r="G775" s="133">
        <v>1782.2071999999998</v>
      </c>
      <c r="H775" s="50" t="s">
        <v>17</v>
      </c>
      <c r="I775" s="50" t="s">
        <v>74</v>
      </c>
      <c r="J775" s="52">
        <v>46178</v>
      </c>
      <c r="K775" s="52">
        <v>46234</v>
      </c>
      <c r="L775" s="134" t="s">
        <v>734</v>
      </c>
    </row>
    <row r="776" spans="1:12">
      <c r="A776" s="89">
        <v>6008</v>
      </c>
      <c r="B776" s="50" t="s">
        <v>1097</v>
      </c>
      <c r="C776" s="89">
        <v>7798074862152</v>
      </c>
      <c r="D776" s="50" t="s">
        <v>1098</v>
      </c>
      <c r="E776" s="101">
        <v>7239.6989999999996</v>
      </c>
      <c r="F776" s="101">
        <v>5791.7592000000004</v>
      </c>
      <c r="G776" s="133">
        <v>1447.9397999999992</v>
      </c>
      <c r="H776" s="50" t="s">
        <v>17</v>
      </c>
      <c r="I776" s="50" t="s">
        <v>74</v>
      </c>
      <c r="J776" s="52">
        <v>46178</v>
      </c>
      <c r="K776" s="52">
        <v>46234</v>
      </c>
      <c r="L776" s="134" t="s">
        <v>734</v>
      </c>
    </row>
    <row r="777" spans="1:12">
      <c r="A777" s="89">
        <v>6038</v>
      </c>
      <c r="B777" s="50" t="s">
        <v>1099</v>
      </c>
      <c r="C777" s="89">
        <v>7798074862787</v>
      </c>
      <c r="D777" s="50" t="s">
        <v>1100</v>
      </c>
      <c r="E777" s="101">
        <v>7239.6989999999996</v>
      </c>
      <c r="F777" s="101">
        <v>5791.7592000000004</v>
      </c>
      <c r="G777" s="133">
        <v>1447.9397999999992</v>
      </c>
      <c r="H777" s="50" t="s">
        <v>17</v>
      </c>
      <c r="I777" s="50" t="s">
        <v>74</v>
      </c>
      <c r="J777" s="52">
        <v>46178</v>
      </c>
      <c r="K777" s="52">
        <v>46234</v>
      </c>
      <c r="L777" s="134" t="s">
        <v>734</v>
      </c>
    </row>
    <row r="778" spans="1:12">
      <c r="A778" s="89">
        <v>663883</v>
      </c>
      <c r="B778" s="50">
        <v>3570</v>
      </c>
      <c r="C778" s="89">
        <v>7798123973570</v>
      </c>
      <c r="D778" s="50" t="s">
        <v>1101</v>
      </c>
      <c r="E778" s="101">
        <v>25160.63</v>
      </c>
      <c r="F778" s="101">
        <v>20128.504000000001</v>
      </c>
      <c r="G778" s="133">
        <v>5032.1260000000002</v>
      </c>
      <c r="H778" s="50" t="s">
        <v>17</v>
      </c>
      <c r="I778" s="50" t="s">
        <v>74</v>
      </c>
      <c r="J778" s="52">
        <v>46178</v>
      </c>
      <c r="K778" s="52">
        <v>46234</v>
      </c>
      <c r="L778" s="134" t="s">
        <v>734</v>
      </c>
    </row>
    <row r="779" spans="1:12">
      <c r="A779" s="89">
        <v>658260</v>
      </c>
      <c r="B779" s="50">
        <v>155900</v>
      </c>
      <c r="C779" s="89">
        <v>7790415131217</v>
      </c>
      <c r="D779" s="50" t="s">
        <v>1102</v>
      </c>
      <c r="E779" s="101">
        <v>6029.9920000000002</v>
      </c>
      <c r="F779" s="101">
        <v>4823.9936000000007</v>
      </c>
      <c r="G779" s="133">
        <v>1205.9983999999995</v>
      </c>
      <c r="H779" s="50" t="s">
        <v>17</v>
      </c>
      <c r="I779" s="50" t="s">
        <v>74</v>
      </c>
      <c r="J779" s="52">
        <v>46178</v>
      </c>
      <c r="K779" s="52">
        <v>46234</v>
      </c>
      <c r="L779" s="134" t="s">
        <v>734</v>
      </c>
    </row>
    <row r="780" spans="1:12">
      <c r="A780" s="89">
        <v>662554</v>
      </c>
      <c r="B780" s="50">
        <v>150800</v>
      </c>
      <c r="C780" s="89">
        <v>6625541111110</v>
      </c>
      <c r="D780" s="50" t="s">
        <v>1103</v>
      </c>
      <c r="E780" s="101">
        <v>6029.9920000000002</v>
      </c>
      <c r="F780" s="101">
        <v>4823.9936000000007</v>
      </c>
      <c r="G780" s="133">
        <v>1205.9983999999995</v>
      </c>
      <c r="H780" s="50" t="s">
        <v>17</v>
      </c>
      <c r="I780" s="50" t="s">
        <v>74</v>
      </c>
      <c r="J780" s="52">
        <v>46178</v>
      </c>
      <c r="K780" s="52">
        <v>46234</v>
      </c>
      <c r="L780" s="134" t="s">
        <v>734</v>
      </c>
    </row>
    <row r="781" spans="1:12">
      <c r="A781" s="89">
        <v>14270</v>
      </c>
      <c r="B781" s="50">
        <v>155950</v>
      </c>
      <c r="C781" s="89">
        <v>7790415131194</v>
      </c>
      <c r="D781" s="50" t="s">
        <v>1104</v>
      </c>
      <c r="E781" s="101">
        <v>6029.9920000000002</v>
      </c>
      <c r="F781" s="101">
        <v>4823.9936000000007</v>
      </c>
      <c r="G781" s="133">
        <v>1205.9983999999995</v>
      </c>
      <c r="H781" s="50" t="s">
        <v>17</v>
      </c>
      <c r="I781" s="50" t="s">
        <v>74</v>
      </c>
      <c r="J781" s="52">
        <v>46178</v>
      </c>
      <c r="K781" s="52">
        <v>46234</v>
      </c>
      <c r="L781" s="134" t="s">
        <v>734</v>
      </c>
    </row>
    <row r="782" spans="1:12">
      <c r="A782" s="89">
        <v>659683</v>
      </c>
      <c r="B782" s="50">
        <v>155850</v>
      </c>
      <c r="C782" s="89">
        <v>7790415130739</v>
      </c>
      <c r="D782" s="50" t="s">
        <v>1105</v>
      </c>
      <c r="E782" s="101">
        <v>6029.9920000000002</v>
      </c>
      <c r="F782" s="101">
        <v>4823.9936000000007</v>
      </c>
      <c r="G782" s="133">
        <v>1205.9983999999995</v>
      </c>
      <c r="H782" s="50" t="s">
        <v>17</v>
      </c>
      <c r="I782" s="50" t="s">
        <v>74</v>
      </c>
      <c r="J782" s="52">
        <v>46178</v>
      </c>
      <c r="K782" s="52">
        <v>46234</v>
      </c>
      <c r="L782" s="134" t="s">
        <v>734</v>
      </c>
    </row>
    <row r="783" spans="1:12">
      <c r="A783" s="89">
        <v>1023</v>
      </c>
      <c r="B783" s="50">
        <v>3913</v>
      </c>
      <c r="C783" s="89">
        <v>7790336039104</v>
      </c>
      <c r="D783" s="50" t="s">
        <v>1106</v>
      </c>
      <c r="E783" s="101">
        <v>5279.8649999999998</v>
      </c>
      <c r="F783" s="101">
        <v>4223.8919999999998</v>
      </c>
      <c r="G783" s="133">
        <v>1055.973</v>
      </c>
      <c r="H783" s="50" t="s">
        <v>17</v>
      </c>
      <c r="I783" s="50" t="s">
        <v>74</v>
      </c>
      <c r="J783" s="52">
        <v>46178</v>
      </c>
      <c r="K783" s="52">
        <v>46234</v>
      </c>
      <c r="L783" s="134" t="s">
        <v>734</v>
      </c>
    </row>
    <row r="784" spans="1:12">
      <c r="A784" s="89">
        <v>665353</v>
      </c>
      <c r="B784" s="50" t="s">
        <v>1107</v>
      </c>
      <c r="C784" s="89">
        <v>7798078238052</v>
      </c>
      <c r="D784" s="50" t="s">
        <v>1108</v>
      </c>
      <c r="E784" s="101">
        <v>5849.8180000000002</v>
      </c>
      <c r="F784" s="101">
        <v>4679.8544000000002</v>
      </c>
      <c r="G784" s="133">
        <v>1169.9636</v>
      </c>
      <c r="H784" s="50" t="s">
        <v>17</v>
      </c>
      <c r="I784" s="50" t="s">
        <v>74</v>
      </c>
      <c r="J784" s="52">
        <v>46178</v>
      </c>
      <c r="K784" s="52">
        <v>46234</v>
      </c>
      <c r="L784" s="134" t="s">
        <v>734</v>
      </c>
    </row>
    <row r="785" spans="1:12">
      <c r="A785" s="89">
        <v>660010</v>
      </c>
      <c r="B785" s="50">
        <v>104</v>
      </c>
      <c r="C785" s="89">
        <v>7790415129832</v>
      </c>
      <c r="D785" s="50" t="s">
        <v>1109</v>
      </c>
      <c r="E785" s="101">
        <v>51300</v>
      </c>
      <c r="F785" s="101">
        <v>41040</v>
      </c>
      <c r="G785" s="133">
        <v>10260</v>
      </c>
      <c r="H785" s="50" t="s">
        <v>17</v>
      </c>
      <c r="I785" s="50" t="s">
        <v>74</v>
      </c>
      <c r="J785" s="52">
        <v>46178</v>
      </c>
      <c r="K785" s="52">
        <v>46234</v>
      </c>
      <c r="L785" s="134" t="s">
        <v>734</v>
      </c>
    </row>
    <row r="786" spans="1:12">
      <c r="A786" s="89">
        <v>13290</v>
      </c>
      <c r="B786" s="50">
        <v>25773</v>
      </c>
      <c r="C786" s="89">
        <v>7790717153924</v>
      </c>
      <c r="D786" s="50" t="s">
        <v>1110</v>
      </c>
      <c r="E786" s="101">
        <v>6201.0770000000002</v>
      </c>
      <c r="F786" s="101">
        <v>4960.8616000000002</v>
      </c>
      <c r="G786" s="133">
        <v>1240.2154</v>
      </c>
      <c r="H786" s="50" t="s">
        <v>17</v>
      </c>
      <c r="I786" s="50" t="s">
        <v>74</v>
      </c>
      <c r="J786" s="52">
        <v>46178</v>
      </c>
      <c r="K786" s="52">
        <v>46234</v>
      </c>
      <c r="L786" s="134" t="s">
        <v>734</v>
      </c>
    </row>
    <row r="787" spans="1:12">
      <c r="A787" s="89">
        <v>7242</v>
      </c>
      <c r="B787" s="50">
        <v>25768</v>
      </c>
      <c r="C787" s="89">
        <v>7790717153917</v>
      </c>
      <c r="D787" s="50" t="s">
        <v>1111</v>
      </c>
      <c r="E787" s="101">
        <v>6201.0770000000002</v>
      </c>
      <c r="F787" s="101">
        <v>4960.8616000000002</v>
      </c>
      <c r="G787" s="133">
        <v>1240.2154</v>
      </c>
      <c r="H787" s="50" t="s">
        <v>17</v>
      </c>
      <c r="I787" s="50" t="s">
        <v>74</v>
      </c>
      <c r="J787" s="52">
        <v>46178</v>
      </c>
      <c r="K787" s="52">
        <v>46234</v>
      </c>
      <c r="L787" s="134" t="s">
        <v>734</v>
      </c>
    </row>
    <row r="788" spans="1:12">
      <c r="A788" s="89">
        <v>658332</v>
      </c>
      <c r="B788" s="50">
        <v>25775</v>
      </c>
      <c r="C788" s="89">
        <v>7790717153900</v>
      </c>
      <c r="D788" s="50" t="s">
        <v>1112</v>
      </c>
      <c r="E788" s="101">
        <v>6201.0770000000002</v>
      </c>
      <c r="F788" s="101">
        <v>4960.8616000000002</v>
      </c>
      <c r="G788" s="133">
        <v>1240.2154</v>
      </c>
      <c r="H788" s="50" t="s">
        <v>17</v>
      </c>
      <c r="I788" s="50" t="s">
        <v>74</v>
      </c>
      <c r="J788" s="52">
        <v>46178</v>
      </c>
      <c r="K788" s="52">
        <v>46234</v>
      </c>
      <c r="L788" s="134" t="s">
        <v>734</v>
      </c>
    </row>
    <row r="789" spans="1:12">
      <c r="A789" s="89">
        <v>467</v>
      </c>
      <c r="B789" s="50" t="s">
        <v>1113</v>
      </c>
      <c r="C789" s="89">
        <v>7792319065315</v>
      </c>
      <c r="D789" s="50" t="s">
        <v>1114</v>
      </c>
      <c r="E789" s="101">
        <v>4387.6890000000003</v>
      </c>
      <c r="F789" s="101">
        <v>3510.1512000000002</v>
      </c>
      <c r="G789" s="133">
        <v>877.53780000000006</v>
      </c>
      <c r="H789" s="50" t="s">
        <v>17</v>
      </c>
      <c r="I789" s="50" t="s">
        <v>74</v>
      </c>
      <c r="J789" s="52">
        <v>46178</v>
      </c>
      <c r="K789" s="52">
        <v>46234</v>
      </c>
      <c r="L789" s="134" t="s">
        <v>734</v>
      </c>
    </row>
    <row r="790" spans="1:12">
      <c r="A790" s="89">
        <v>3212</v>
      </c>
      <c r="B790" s="50" t="s">
        <v>1115</v>
      </c>
      <c r="C790" s="89">
        <v>7792319009937</v>
      </c>
      <c r="D790" s="50" t="s">
        <v>1116</v>
      </c>
      <c r="E790" s="101">
        <v>13149.8</v>
      </c>
      <c r="F790" s="101">
        <v>10519.84</v>
      </c>
      <c r="G790" s="105">
        <v>2629.9599999999991</v>
      </c>
      <c r="H790" s="50" t="s">
        <v>17</v>
      </c>
      <c r="I790" s="50" t="s">
        <v>74</v>
      </c>
      <c r="J790" s="52">
        <v>46206</v>
      </c>
      <c r="K790" s="52">
        <v>46234</v>
      </c>
      <c r="L790" s="134" t="s">
        <v>734</v>
      </c>
    </row>
    <row r="791" spans="1:12">
      <c r="A791" s="89">
        <v>664139</v>
      </c>
      <c r="B791" s="50" t="s">
        <v>1117</v>
      </c>
      <c r="C791" s="89">
        <v>7792319970213</v>
      </c>
      <c r="D791" s="50" t="s">
        <v>1118</v>
      </c>
      <c r="E791" s="101">
        <v>8851.94</v>
      </c>
      <c r="F791" s="101">
        <v>7081.5520000000006</v>
      </c>
      <c r="G791" s="105">
        <v>1770.3879999999999</v>
      </c>
      <c r="H791" s="50" t="s">
        <v>17</v>
      </c>
      <c r="I791" s="50" t="s">
        <v>74</v>
      </c>
      <c r="J791" s="52">
        <v>46206</v>
      </c>
      <c r="K791" s="52">
        <v>46234</v>
      </c>
      <c r="L791" s="134" t="s">
        <v>734</v>
      </c>
    </row>
    <row r="792" spans="1:12">
      <c r="A792" s="89">
        <v>664127</v>
      </c>
      <c r="B792" s="50" t="s">
        <v>1119</v>
      </c>
      <c r="C792" s="89">
        <v>7792319003928</v>
      </c>
      <c r="D792" s="50" t="s">
        <v>1120</v>
      </c>
      <c r="E792" s="101">
        <v>9848.3410000000003</v>
      </c>
      <c r="F792" s="101">
        <v>7878.6728000000003</v>
      </c>
      <c r="G792" s="133">
        <v>1969.6682000000001</v>
      </c>
      <c r="H792" s="50" t="s">
        <v>17</v>
      </c>
      <c r="I792" s="50" t="s">
        <v>74</v>
      </c>
      <c r="J792" s="52">
        <v>46178</v>
      </c>
      <c r="K792" s="52">
        <v>46234</v>
      </c>
      <c r="L792" s="134" t="s">
        <v>734</v>
      </c>
    </row>
    <row r="793" spans="1:12">
      <c r="A793" s="89">
        <v>13508</v>
      </c>
      <c r="B793" s="50" t="s">
        <v>1121</v>
      </c>
      <c r="C793" s="89">
        <v>7792319678003</v>
      </c>
      <c r="D793" s="50" t="s">
        <v>1122</v>
      </c>
      <c r="E793" s="101">
        <v>10234.33</v>
      </c>
      <c r="F793" s="101">
        <v>8187.4639999999999</v>
      </c>
      <c r="G793" s="105">
        <v>2046.866</v>
      </c>
      <c r="H793" s="50" t="s">
        <v>17</v>
      </c>
      <c r="I793" s="50" t="s">
        <v>74</v>
      </c>
      <c r="J793" s="52">
        <v>46206</v>
      </c>
      <c r="K793" s="52">
        <v>46234</v>
      </c>
      <c r="L793" s="134" t="s">
        <v>734</v>
      </c>
    </row>
    <row r="794" spans="1:12">
      <c r="A794" s="89">
        <v>664138</v>
      </c>
      <c r="B794" s="50" t="s">
        <v>1123</v>
      </c>
      <c r="C794" s="89">
        <v>7792319972811</v>
      </c>
      <c r="D794" s="50" t="s">
        <v>1124</v>
      </c>
      <c r="E794" s="101">
        <v>10234.33</v>
      </c>
      <c r="F794" s="101">
        <v>8187.4639999999999</v>
      </c>
      <c r="G794" s="105">
        <v>2046.866</v>
      </c>
      <c r="H794" s="50" t="s">
        <v>17</v>
      </c>
      <c r="I794" s="50" t="s">
        <v>74</v>
      </c>
      <c r="J794" s="52">
        <v>46206</v>
      </c>
      <c r="K794" s="52">
        <v>46234</v>
      </c>
      <c r="L794" s="134" t="s">
        <v>734</v>
      </c>
    </row>
    <row r="795" spans="1:12">
      <c r="A795" s="89">
        <v>5111</v>
      </c>
      <c r="B795" s="50" t="s">
        <v>1125</v>
      </c>
      <c r="C795" s="89">
        <v>7792319678010</v>
      </c>
      <c r="D795" s="50" t="s">
        <v>1126</v>
      </c>
      <c r="E795" s="101">
        <v>10234.33</v>
      </c>
      <c r="F795" s="101">
        <v>8187.4639999999999</v>
      </c>
      <c r="G795" s="105">
        <v>2046.866</v>
      </c>
      <c r="H795" s="50" t="s">
        <v>17</v>
      </c>
      <c r="I795" s="50" t="s">
        <v>74</v>
      </c>
      <c r="J795" s="52">
        <v>46206</v>
      </c>
      <c r="K795" s="52">
        <v>46234</v>
      </c>
      <c r="L795" s="134" t="s">
        <v>734</v>
      </c>
    </row>
    <row r="796" spans="1:12">
      <c r="A796" s="89">
        <v>664137</v>
      </c>
      <c r="B796" s="50" t="s">
        <v>1127</v>
      </c>
      <c r="C796" s="89">
        <v>7792319972835</v>
      </c>
      <c r="D796" s="50" t="s">
        <v>1128</v>
      </c>
      <c r="E796" s="101">
        <v>10234.33</v>
      </c>
      <c r="F796" s="101">
        <v>8187.4639999999999</v>
      </c>
      <c r="G796" s="105">
        <v>2046.866</v>
      </c>
      <c r="H796" s="50" t="s">
        <v>17</v>
      </c>
      <c r="I796" s="50" t="s">
        <v>74</v>
      </c>
      <c r="J796" s="52">
        <v>46206</v>
      </c>
      <c r="K796" s="52">
        <v>46234</v>
      </c>
      <c r="L796" s="134" t="s">
        <v>734</v>
      </c>
    </row>
    <row r="797" spans="1:12">
      <c r="A797" s="89">
        <v>662048</v>
      </c>
      <c r="B797" s="50">
        <v>25640</v>
      </c>
      <c r="C797" s="89">
        <v>7790717153771</v>
      </c>
      <c r="D797" s="50" t="s">
        <v>1129</v>
      </c>
      <c r="E797" s="101">
        <v>4451.2790000000005</v>
      </c>
      <c r="F797" s="101">
        <v>3561.0232000000005</v>
      </c>
      <c r="G797" s="133">
        <v>890.25579999999991</v>
      </c>
      <c r="H797" s="50" t="s">
        <v>17</v>
      </c>
      <c r="I797" s="50" t="s">
        <v>74</v>
      </c>
      <c r="J797" s="52">
        <v>46178</v>
      </c>
      <c r="K797" s="52">
        <v>46234</v>
      </c>
      <c r="L797" s="134" t="s">
        <v>734</v>
      </c>
    </row>
    <row r="798" spans="1:12">
      <c r="A798" s="89">
        <v>6324</v>
      </c>
      <c r="B798" s="50">
        <v>22329</v>
      </c>
      <c r="C798" s="89">
        <v>7790717152101</v>
      </c>
      <c r="D798" s="50" t="s">
        <v>1130</v>
      </c>
      <c r="E798" s="101">
        <v>4439.9210000000003</v>
      </c>
      <c r="F798" s="101">
        <v>3551.9368000000004</v>
      </c>
      <c r="G798" s="133">
        <v>887.98419999999987</v>
      </c>
      <c r="H798" s="50" t="s">
        <v>17</v>
      </c>
      <c r="I798" s="50" t="s">
        <v>74</v>
      </c>
      <c r="J798" s="52">
        <v>46178</v>
      </c>
      <c r="K798" s="52">
        <v>46234</v>
      </c>
      <c r="L798" s="134" t="s">
        <v>734</v>
      </c>
    </row>
    <row r="799" spans="1:12">
      <c r="A799" s="89">
        <v>13896</v>
      </c>
      <c r="B799" s="50">
        <v>22321</v>
      </c>
      <c r="C799" s="89">
        <v>7790717153092</v>
      </c>
      <c r="D799" s="50" t="s">
        <v>1131</v>
      </c>
      <c r="E799" s="101">
        <v>4868.9340000000002</v>
      </c>
      <c r="F799" s="101">
        <v>3895.1472000000003</v>
      </c>
      <c r="G799" s="133">
        <v>973.78679999999986</v>
      </c>
      <c r="H799" s="50" t="s">
        <v>17</v>
      </c>
      <c r="I799" s="50" t="s">
        <v>74</v>
      </c>
      <c r="J799" s="52">
        <v>46178</v>
      </c>
      <c r="K799" s="52">
        <v>46234</v>
      </c>
      <c r="L799" s="134" t="s">
        <v>734</v>
      </c>
    </row>
    <row r="800" spans="1:12">
      <c r="A800" s="89">
        <v>13895</v>
      </c>
      <c r="B800" s="50">
        <v>22328</v>
      </c>
      <c r="C800" s="89">
        <v>7790717153078</v>
      </c>
      <c r="D800" s="50" t="s">
        <v>1132</v>
      </c>
      <c r="E800" s="101">
        <v>4986.7960000000003</v>
      </c>
      <c r="F800" s="101">
        <v>3989.4368000000004</v>
      </c>
      <c r="G800" s="133">
        <v>997.35919999999987</v>
      </c>
      <c r="H800" s="50" t="s">
        <v>17</v>
      </c>
      <c r="I800" s="50" t="s">
        <v>74</v>
      </c>
      <c r="J800" s="52">
        <v>46178</v>
      </c>
      <c r="K800" s="52">
        <v>46234</v>
      </c>
      <c r="L800" s="134" t="s">
        <v>734</v>
      </c>
    </row>
    <row r="801" spans="1:12">
      <c r="A801" s="89">
        <v>4329</v>
      </c>
      <c r="B801" s="50">
        <v>1045</v>
      </c>
      <c r="C801" s="89">
        <v>7790415129979</v>
      </c>
      <c r="D801" s="50" t="s">
        <v>1133</v>
      </c>
      <c r="E801" s="101">
        <v>33300</v>
      </c>
      <c r="F801" s="101">
        <v>26640</v>
      </c>
      <c r="G801" s="133">
        <v>6660</v>
      </c>
      <c r="H801" s="50" t="s">
        <v>17</v>
      </c>
      <c r="I801" s="50" t="s">
        <v>74</v>
      </c>
      <c r="J801" s="52">
        <v>46178</v>
      </c>
      <c r="K801" s="52">
        <v>46234</v>
      </c>
      <c r="L801" s="134" t="s">
        <v>734</v>
      </c>
    </row>
    <row r="802" spans="1:12">
      <c r="A802" s="89">
        <v>4312</v>
      </c>
      <c r="B802" s="50">
        <v>1030</v>
      </c>
      <c r="C802" s="89">
        <v>7790415129894</v>
      </c>
      <c r="D802" s="50" t="s">
        <v>1134</v>
      </c>
      <c r="E802" s="101">
        <v>33300</v>
      </c>
      <c r="F802" s="101">
        <v>26640</v>
      </c>
      <c r="G802" s="133">
        <v>6660</v>
      </c>
      <c r="H802" s="50" t="s">
        <v>17</v>
      </c>
      <c r="I802" s="50" t="s">
        <v>74</v>
      </c>
      <c r="J802" s="52">
        <v>46178</v>
      </c>
      <c r="K802" s="52">
        <v>46234</v>
      </c>
      <c r="L802" s="134" t="s">
        <v>734</v>
      </c>
    </row>
    <row r="803" spans="1:12">
      <c r="A803" s="89">
        <v>665437</v>
      </c>
      <c r="B803" s="50">
        <v>2115</v>
      </c>
      <c r="C803" s="89">
        <v>7798123971552</v>
      </c>
      <c r="D803" s="50" t="s">
        <v>1135</v>
      </c>
      <c r="E803" s="101">
        <v>4922.107</v>
      </c>
      <c r="F803" s="101">
        <v>3937.6856000000002</v>
      </c>
      <c r="G803" s="133">
        <v>984.42139999999972</v>
      </c>
      <c r="H803" s="50" t="s">
        <v>17</v>
      </c>
      <c r="I803" s="50" t="s">
        <v>74</v>
      </c>
      <c r="J803" s="52">
        <v>46178</v>
      </c>
      <c r="K803" s="52">
        <v>46234</v>
      </c>
      <c r="L803" s="134" t="s">
        <v>734</v>
      </c>
    </row>
    <row r="804" spans="1:12">
      <c r="A804" s="89">
        <v>665439</v>
      </c>
      <c r="B804" s="50">
        <v>1323</v>
      </c>
      <c r="C804" s="89">
        <v>7798123971323</v>
      </c>
      <c r="D804" s="50" t="s">
        <v>1136</v>
      </c>
      <c r="E804" s="101">
        <v>4922.107</v>
      </c>
      <c r="F804" s="101">
        <v>3937.6856000000002</v>
      </c>
      <c r="G804" s="133">
        <v>984.42139999999972</v>
      </c>
      <c r="H804" s="50" t="s">
        <v>17</v>
      </c>
      <c r="I804" s="50" t="s">
        <v>74</v>
      </c>
      <c r="J804" s="52">
        <v>46178</v>
      </c>
      <c r="K804" s="52">
        <v>46234</v>
      </c>
      <c r="L804" s="134" t="s">
        <v>734</v>
      </c>
    </row>
    <row r="805" spans="1:12">
      <c r="A805" s="89">
        <v>660167</v>
      </c>
      <c r="B805" s="50">
        <v>111</v>
      </c>
      <c r="C805" s="89">
        <v>7798123970111</v>
      </c>
      <c r="D805" s="50" t="s">
        <v>1137</v>
      </c>
      <c r="E805" s="101">
        <v>7140.2340000000004</v>
      </c>
      <c r="F805" s="101">
        <v>5712.1872000000003</v>
      </c>
      <c r="G805" s="133">
        <v>1428.0468000000001</v>
      </c>
      <c r="H805" s="50" t="s">
        <v>17</v>
      </c>
      <c r="I805" s="50" t="s">
        <v>74</v>
      </c>
      <c r="J805" s="52">
        <v>46178</v>
      </c>
      <c r="K805" s="52">
        <v>46234</v>
      </c>
      <c r="L805" s="134" t="s">
        <v>734</v>
      </c>
    </row>
    <row r="806" spans="1:12">
      <c r="A806" s="89">
        <v>660173</v>
      </c>
      <c r="B806" s="50">
        <v>388</v>
      </c>
      <c r="C806" s="89">
        <v>7798123970388</v>
      </c>
      <c r="D806" s="50" t="s">
        <v>1138</v>
      </c>
      <c r="E806" s="101">
        <v>11234.98</v>
      </c>
      <c r="F806" s="101">
        <v>8987.9840000000004</v>
      </c>
      <c r="G806" s="133">
        <v>2246.9959999999992</v>
      </c>
      <c r="H806" s="50" t="s">
        <v>17</v>
      </c>
      <c r="I806" s="50" t="s">
        <v>74</v>
      </c>
      <c r="J806" s="52">
        <v>46178</v>
      </c>
      <c r="K806" s="52">
        <v>46234</v>
      </c>
      <c r="L806" s="134" t="s">
        <v>734</v>
      </c>
    </row>
    <row r="807" spans="1:12">
      <c r="A807" s="89">
        <v>660171</v>
      </c>
      <c r="B807" s="50">
        <v>7068</v>
      </c>
      <c r="C807" s="89">
        <v>7798123970685</v>
      </c>
      <c r="D807" s="50" t="s">
        <v>1139</v>
      </c>
      <c r="E807" s="101">
        <v>12134.24</v>
      </c>
      <c r="F807" s="101">
        <v>9707.3919999999998</v>
      </c>
      <c r="G807" s="133">
        <v>2426.848</v>
      </c>
      <c r="H807" s="50" t="s">
        <v>17</v>
      </c>
      <c r="I807" s="50" t="s">
        <v>74</v>
      </c>
      <c r="J807" s="52">
        <v>46178</v>
      </c>
      <c r="K807" s="52">
        <v>46234</v>
      </c>
      <c r="L807" s="134" t="s">
        <v>734</v>
      </c>
    </row>
    <row r="808" spans="1:12">
      <c r="A808" s="89">
        <v>660176</v>
      </c>
      <c r="B808" s="50">
        <v>1453</v>
      </c>
      <c r="C808" s="89">
        <v>7798123971453</v>
      </c>
      <c r="D808" s="50" t="s">
        <v>1140</v>
      </c>
      <c r="E808" s="101">
        <v>21945.03</v>
      </c>
      <c r="F808" s="101">
        <v>17556.024000000001</v>
      </c>
      <c r="G808" s="133">
        <v>4389.0059999999976</v>
      </c>
      <c r="H808" s="50" t="s">
        <v>17</v>
      </c>
      <c r="I808" s="50" t="s">
        <v>74</v>
      </c>
      <c r="J808" s="52">
        <v>46178</v>
      </c>
      <c r="K808" s="52">
        <v>46234</v>
      </c>
      <c r="L808" s="134" t="s">
        <v>734</v>
      </c>
    </row>
    <row r="809" spans="1:12">
      <c r="A809" s="89">
        <v>660172</v>
      </c>
      <c r="B809" s="50">
        <v>296</v>
      </c>
      <c r="C809" s="89">
        <v>7798123970296</v>
      </c>
      <c r="D809" s="50" t="s">
        <v>1141</v>
      </c>
      <c r="E809" s="101">
        <v>11234.98</v>
      </c>
      <c r="F809" s="101">
        <v>8987.9840000000004</v>
      </c>
      <c r="G809" s="133">
        <v>2246.9959999999992</v>
      </c>
      <c r="H809" s="50" t="s">
        <v>17</v>
      </c>
      <c r="I809" s="50" t="s">
        <v>74</v>
      </c>
      <c r="J809" s="52">
        <v>46178</v>
      </c>
      <c r="K809" s="52">
        <v>46234</v>
      </c>
      <c r="L809" s="134" t="s">
        <v>734</v>
      </c>
    </row>
    <row r="810" spans="1:12">
      <c r="A810" s="89">
        <v>660174</v>
      </c>
      <c r="B810" s="50">
        <v>432</v>
      </c>
      <c r="C810" s="89">
        <v>7798123970432</v>
      </c>
      <c r="D810" s="50" t="s">
        <v>1142</v>
      </c>
      <c r="E810" s="101">
        <v>11234.98</v>
      </c>
      <c r="F810" s="101">
        <v>8987.9840000000004</v>
      </c>
      <c r="G810" s="133">
        <v>2246.9959999999992</v>
      </c>
      <c r="H810" s="50" t="s">
        <v>17</v>
      </c>
      <c r="I810" s="50" t="s">
        <v>74</v>
      </c>
      <c r="J810" s="52">
        <v>46178</v>
      </c>
      <c r="K810" s="52">
        <v>46234</v>
      </c>
      <c r="L810" s="134" t="s">
        <v>734</v>
      </c>
    </row>
    <row r="811" spans="1:12">
      <c r="A811" s="89">
        <v>9807</v>
      </c>
      <c r="B811" s="50" t="s">
        <v>1143</v>
      </c>
      <c r="C811" s="89">
        <v>7798074866259</v>
      </c>
      <c r="D811" s="50" t="s">
        <v>1144</v>
      </c>
      <c r="E811" s="101">
        <v>5028.6080000000002</v>
      </c>
      <c r="F811" s="101">
        <v>4022.8864000000003</v>
      </c>
      <c r="G811" s="133">
        <v>1005.7215999999999</v>
      </c>
      <c r="H811" s="50" t="s">
        <v>17</v>
      </c>
      <c r="I811" s="50" t="s">
        <v>74</v>
      </c>
      <c r="J811" s="52">
        <v>46178</v>
      </c>
      <c r="K811" s="52">
        <v>46234</v>
      </c>
      <c r="L811" s="134" t="s">
        <v>734</v>
      </c>
    </row>
    <row r="812" spans="1:12">
      <c r="A812" s="89">
        <v>102348</v>
      </c>
      <c r="B812" s="50" t="s">
        <v>1145</v>
      </c>
      <c r="C812" s="89">
        <v>7798074860646</v>
      </c>
      <c r="D812" s="50" t="s">
        <v>1146</v>
      </c>
      <c r="E812" s="101">
        <v>5028.6080000000002</v>
      </c>
      <c r="F812" s="101">
        <v>4022.8864000000003</v>
      </c>
      <c r="G812" s="133">
        <v>1005.7215999999999</v>
      </c>
      <c r="H812" s="50" t="s">
        <v>17</v>
      </c>
      <c r="I812" s="50" t="s">
        <v>74</v>
      </c>
      <c r="J812" s="52">
        <v>46178</v>
      </c>
      <c r="K812" s="52">
        <v>46234</v>
      </c>
      <c r="L812" s="134" t="s">
        <v>734</v>
      </c>
    </row>
    <row r="813" spans="1:12">
      <c r="A813" s="89">
        <v>661213</v>
      </c>
      <c r="B813" s="50" t="s">
        <v>1147</v>
      </c>
      <c r="C813" s="89">
        <v>7798074864019</v>
      </c>
      <c r="D813" s="50" t="s">
        <v>1148</v>
      </c>
      <c r="E813" s="101">
        <v>10057.200000000001</v>
      </c>
      <c r="F813" s="101">
        <v>8045.7600000000011</v>
      </c>
      <c r="G813" s="133">
        <v>2011.4399999999996</v>
      </c>
      <c r="H813" s="50" t="s">
        <v>17</v>
      </c>
      <c r="I813" s="50" t="s">
        <v>74</v>
      </c>
      <c r="J813" s="52">
        <v>46178</v>
      </c>
      <c r="K813" s="52">
        <v>46234</v>
      </c>
      <c r="L813" s="134" t="s">
        <v>734</v>
      </c>
    </row>
    <row r="814" spans="1:12">
      <c r="A814" s="89">
        <v>7977</v>
      </c>
      <c r="B814" s="50" t="s">
        <v>1149</v>
      </c>
      <c r="C814" s="89">
        <v>7798074866273</v>
      </c>
      <c r="D814" s="50" t="s">
        <v>1150</v>
      </c>
      <c r="E814" s="101">
        <v>5028.6080000000002</v>
      </c>
      <c r="F814" s="101">
        <v>4022.8864000000003</v>
      </c>
      <c r="G814" s="133">
        <v>1005.7215999999999</v>
      </c>
      <c r="H814" s="50" t="s">
        <v>17</v>
      </c>
      <c r="I814" s="50" t="s">
        <v>74</v>
      </c>
      <c r="J814" s="52">
        <v>46178</v>
      </c>
      <c r="K814" s="52">
        <v>46234</v>
      </c>
      <c r="L814" s="134" t="s">
        <v>734</v>
      </c>
    </row>
    <row r="815" spans="1:12">
      <c r="A815" s="89">
        <v>9808</v>
      </c>
      <c r="B815" s="50" t="s">
        <v>1151</v>
      </c>
      <c r="C815" s="89">
        <v>7798074866266</v>
      </c>
      <c r="D815" s="50" t="s">
        <v>1152</v>
      </c>
      <c r="E815" s="101">
        <v>5028.6080000000002</v>
      </c>
      <c r="F815" s="101">
        <v>4022.8864000000003</v>
      </c>
      <c r="G815" s="133">
        <v>1005.7215999999999</v>
      </c>
      <c r="H815" s="50" t="s">
        <v>17</v>
      </c>
      <c r="I815" s="50" t="s">
        <v>74</v>
      </c>
      <c r="J815" s="52">
        <v>46178</v>
      </c>
      <c r="K815" s="52">
        <v>46234</v>
      </c>
      <c r="L815" s="134" t="s">
        <v>734</v>
      </c>
    </row>
    <row r="816" spans="1:12">
      <c r="A816" s="89">
        <v>663256</v>
      </c>
      <c r="B816" s="50">
        <v>0</v>
      </c>
      <c r="C816" s="89">
        <v>7798153600194</v>
      </c>
      <c r="D816" s="50" t="s">
        <v>1153</v>
      </c>
      <c r="E816" s="101">
        <v>5340.741</v>
      </c>
      <c r="F816" s="101">
        <v>4272.5928000000004</v>
      </c>
      <c r="G816" s="133">
        <v>1068.1481999999996</v>
      </c>
      <c r="H816" s="50" t="s">
        <v>17</v>
      </c>
      <c r="I816" s="50" t="s">
        <v>74</v>
      </c>
      <c r="J816" s="52">
        <v>46178</v>
      </c>
      <c r="K816" s="52">
        <v>46234</v>
      </c>
      <c r="L816" s="134" t="s">
        <v>734</v>
      </c>
    </row>
    <row r="817" spans="1:12">
      <c r="A817" s="89">
        <v>662517</v>
      </c>
      <c r="B817" s="50" t="s">
        <v>1154</v>
      </c>
      <c r="C817" s="89">
        <v>7798287070047</v>
      </c>
      <c r="D817" s="50" t="s">
        <v>1155</v>
      </c>
      <c r="E817" s="101">
        <v>11314.35</v>
      </c>
      <c r="F817" s="101">
        <v>9051.4800000000014</v>
      </c>
      <c r="G817" s="133">
        <v>2262.869999999999</v>
      </c>
      <c r="H817" s="50" t="s">
        <v>17</v>
      </c>
      <c r="I817" s="50" t="s">
        <v>74</v>
      </c>
      <c r="J817" s="52">
        <v>46178</v>
      </c>
      <c r="K817" s="52">
        <v>46234</v>
      </c>
      <c r="L817" s="134" t="s">
        <v>734</v>
      </c>
    </row>
    <row r="818" spans="1:12">
      <c r="A818" s="89">
        <v>662518</v>
      </c>
      <c r="B818" s="50" t="s">
        <v>1156</v>
      </c>
      <c r="C818" s="89">
        <v>7798287070016</v>
      </c>
      <c r="D818" s="50" t="s">
        <v>1157</v>
      </c>
      <c r="E818" s="101">
        <v>11314.35</v>
      </c>
      <c r="F818" s="101">
        <v>9051.4800000000014</v>
      </c>
      <c r="G818" s="133">
        <v>2262.869999999999</v>
      </c>
      <c r="H818" s="50" t="s">
        <v>17</v>
      </c>
      <c r="I818" s="50" t="s">
        <v>74</v>
      </c>
      <c r="J818" s="52">
        <v>46178</v>
      </c>
      <c r="K818" s="52">
        <v>46234</v>
      </c>
      <c r="L818" s="134" t="s">
        <v>734</v>
      </c>
    </row>
    <row r="819" spans="1:12">
      <c r="A819" s="89">
        <v>659933</v>
      </c>
      <c r="B819" s="50" t="s">
        <v>1158</v>
      </c>
      <c r="C819" s="89">
        <v>7798108833073</v>
      </c>
      <c r="D819" s="50" t="s">
        <v>1159</v>
      </c>
      <c r="E819" s="101">
        <v>10279.049999999999</v>
      </c>
      <c r="F819" s="101">
        <v>8223.24</v>
      </c>
      <c r="G819" s="133">
        <v>2055.8099999999995</v>
      </c>
      <c r="H819" s="50" t="s">
        <v>17</v>
      </c>
      <c r="I819" s="50" t="s">
        <v>74</v>
      </c>
      <c r="J819" s="52">
        <v>46178</v>
      </c>
      <c r="K819" s="52">
        <v>46234</v>
      </c>
      <c r="L819" s="134" t="s">
        <v>734</v>
      </c>
    </row>
    <row r="820" spans="1:12">
      <c r="A820" s="89">
        <v>659934</v>
      </c>
      <c r="B820" s="50" t="s">
        <v>1160</v>
      </c>
      <c r="C820" s="89">
        <v>7798108833097</v>
      </c>
      <c r="D820" s="50" t="s">
        <v>1161</v>
      </c>
      <c r="E820" s="101">
        <v>10279.049999999999</v>
      </c>
      <c r="F820" s="101">
        <v>8223.24</v>
      </c>
      <c r="G820" s="133">
        <v>2055.8099999999995</v>
      </c>
      <c r="H820" s="50" t="s">
        <v>17</v>
      </c>
      <c r="I820" s="50" t="s">
        <v>74</v>
      </c>
      <c r="J820" s="52">
        <v>46178</v>
      </c>
      <c r="K820" s="52">
        <v>46234</v>
      </c>
      <c r="L820" s="134" t="s">
        <v>734</v>
      </c>
    </row>
    <row r="821" spans="1:12">
      <c r="A821" s="89">
        <v>12798</v>
      </c>
      <c r="B821" s="50">
        <v>170250</v>
      </c>
      <c r="C821" s="89">
        <v>7790415131255</v>
      </c>
      <c r="D821" s="50" t="s">
        <v>1162</v>
      </c>
      <c r="E821" s="101">
        <v>6299.9920000000002</v>
      </c>
      <c r="F821" s="101">
        <v>5039.9936000000007</v>
      </c>
      <c r="G821" s="133">
        <v>1259.9983999999995</v>
      </c>
      <c r="H821" s="50" t="s">
        <v>17</v>
      </c>
      <c r="I821" s="50" t="s">
        <v>74</v>
      </c>
      <c r="J821" s="52">
        <v>46178</v>
      </c>
      <c r="K821" s="52">
        <v>46234</v>
      </c>
      <c r="L821" s="134" t="s">
        <v>734</v>
      </c>
    </row>
    <row r="822" spans="1:12">
      <c r="A822" s="89">
        <v>14079</v>
      </c>
      <c r="B822" s="50">
        <v>170100</v>
      </c>
      <c r="C822" s="89">
        <v>7790415130753</v>
      </c>
      <c r="D822" s="50" t="s">
        <v>1163</v>
      </c>
      <c r="E822" s="101">
        <v>6299.9920000000002</v>
      </c>
      <c r="F822" s="101">
        <v>5039.9936000000007</v>
      </c>
      <c r="G822" s="133">
        <v>1259.9983999999995</v>
      </c>
      <c r="H822" s="50" t="s">
        <v>17</v>
      </c>
      <c r="I822" s="50" t="s">
        <v>74</v>
      </c>
      <c r="J822" s="52">
        <v>46178</v>
      </c>
      <c r="K822" s="52">
        <v>46234</v>
      </c>
      <c r="L822" s="134" t="s">
        <v>734</v>
      </c>
    </row>
    <row r="823" spans="1:12">
      <c r="A823" s="89">
        <v>660440</v>
      </c>
      <c r="B823" s="50" t="s">
        <v>1164</v>
      </c>
      <c r="C823" s="89">
        <v>7798074864224</v>
      </c>
      <c r="D823" s="50" t="s">
        <v>1165</v>
      </c>
      <c r="E823" s="101">
        <v>11684.09</v>
      </c>
      <c r="F823" s="101">
        <v>9347.2720000000008</v>
      </c>
      <c r="G823" s="133">
        <v>2336.8179999999993</v>
      </c>
      <c r="H823" s="50" t="s">
        <v>17</v>
      </c>
      <c r="I823" s="50" t="s">
        <v>74</v>
      </c>
      <c r="J823" s="52">
        <v>46178</v>
      </c>
      <c r="K823" s="52">
        <v>46234</v>
      </c>
      <c r="L823" s="134" t="s">
        <v>734</v>
      </c>
    </row>
    <row r="824" spans="1:12">
      <c r="A824" s="89">
        <v>660008</v>
      </c>
      <c r="B824" s="50" t="s">
        <v>1166</v>
      </c>
      <c r="C824" s="89">
        <v>7798074860349</v>
      </c>
      <c r="D824" s="50" t="s">
        <v>1167</v>
      </c>
      <c r="E824" s="101">
        <v>11166.45</v>
      </c>
      <c r="F824" s="101">
        <v>8933.1600000000017</v>
      </c>
      <c r="G824" s="133">
        <v>2233.2899999999991</v>
      </c>
      <c r="H824" s="50" t="s">
        <v>17</v>
      </c>
      <c r="I824" s="50" t="s">
        <v>74</v>
      </c>
      <c r="J824" s="52">
        <v>46178</v>
      </c>
      <c r="K824" s="52">
        <v>46234</v>
      </c>
      <c r="L824" s="134" t="s">
        <v>734</v>
      </c>
    </row>
    <row r="825" spans="1:12">
      <c r="A825" s="89">
        <v>10309</v>
      </c>
      <c r="B825" s="50" t="s">
        <v>1168</v>
      </c>
      <c r="C825" s="89">
        <v>7798074860318</v>
      </c>
      <c r="D825" s="50" t="s">
        <v>1169</v>
      </c>
      <c r="E825" s="101">
        <v>11166.45</v>
      </c>
      <c r="F825" s="101">
        <v>8933.1600000000017</v>
      </c>
      <c r="G825" s="133">
        <v>2233.2899999999991</v>
      </c>
      <c r="H825" s="50" t="s">
        <v>17</v>
      </c>
      <c r="I825" s="50" t="s">
        <v>74</v>
      </c>
      <c r="J825" s="52">
        <v>46178</v>
      </c>
      <c r="K825" s="52">
        <v>46234</v>
      </c>
      <c r="L825" s="134" t="s">
        <v>734</v>
      </c>
    </row>
    <row r="826" spans="1:12">
      <c r="A826" s="89">
        <v>660901</v>
      </c>
      <c r="B826" s="50">
        <v>100165794</v>
      </c>
      <c r="C826" s="89">
        <v>7791728237290</v>
      </c>
      <c r="D826" s="50" t="s">
        <v>1170</v>
      </c>
      <c r="E826" s="101">
        <v>18450</v>
      </c>
      <c r="F826" s="101">
        <v>14760</v>
      </c>
      <c r="G826" s="133">
        <v>3690</v>
      </c>
      <c r="H826" s="50" t="s">
        <v>17</v>
      </c>
      <c r="I826" s="50" t="s">
        <v>74</v>
      </c>
      <c r="J826" s="52">
        <v>46178</v>
      </c>
      <c r="K826" s="52">
        <v>46234</v>
      </c>
      <c r="L826" s="134" t="s">
        <v>734</v>
      </c>
    </row>
    <row r="827" spans="1:12">
      <c r="A827" s="89">
        <v>662576</v>
      </c>
      <c r="B827" s="50">
        <v>100177424</v>
      </c>
      <c r="C827" s="89">
        <v>7791728242959</v>
      </c>
      <c r="D827" s="50" t="s">
        <v>1171</v>
      </c>
      <c r="E827" s="101">
        <v>18450</v>
      </c>
      <c r="F827" s="101">
        <v>14760</v>
      </c>
      <c r="G827" s="133">
        <v>3690</v>
      </c>
      <c r="H827" s="50" t="s">
        <v>17</v>
      </c>
      <c r="I827" s="50" t="s">
        <v>74</v>
      </c>
      <c r="J827" s="52">
        <v>46178</v>
      </c>
      <c r="K827" s="52">
        <v>46234</v>
      </c>
      <c r="L827" s="134" t="s">
        <v>734</v>
      </c>
    </row>
    <row r="828" spans="1:12">
      <c r="A828" s="89">
        <v>660902</v>
      </c>
      <c r="B828" s="50">
        <v>100172281</v>
      </c>
      <c r="C828" s="89">
        <v>7791728240177</v>
      </c>
      <c r="D828" s="50" t="s">
        <v>1172</v>
      </c>
      <c r="E828" s="101">
        <v>18450</v>
      </c>
      <c r="F828" s="101">
        <v>14760</v>
      </c>
      <c r="G828" s="133">
        <v>3690</v>
      </c>
      <c r="H828" s="50" t="s">
        <v>17</v>
      </c>
      <c r="I828" s="50" t="s">
        <v>74</v>
      </c>
      <c r="J828" s="52">
        <v>46178</v>
      </c>
      <c r="K828" s="52">
        <v>46234</v>
      </c>
      <c r="L828" s="134" t="s">
        <v>734</v>
      </c>
    </row>
    <row r="829" spans="1:12">
      <c r="A829" s="89">
        <v>11209</v>
      </c>
      <c r="B829" s="50" t="s">
        <v>1173</v>
      </c>
      <c r="C829" s="89">
        <v>7798078236027</v>
      </c>
      <c r="D829" s="50" t="s">
        <v>1174</v>
      </c>
      <c r="E829" s="101">
        <v>9360.0810000000001</v>
      </c>
      <c r="F829" s="101">
        <v>7488.0648000000001</v>
      </c>
      <c r="G829" s="133">
        <v>1872.0162</v>
      </c>
      <c r="H829" s="50" t="s">
        <v>17</v>
      </c>
      <c r="I829" s="50" t="s">
        <v>74</v>
      </c>
      <c r="J829" s="52">
        <v>46178</v>
      </c>
      <c r="K829" s="52">
        <v>46234</v>
      </c>
      <c r="L829" s="134" t="s">
        <v>734</v>
      </c>
    </row>
    <row r="830" spans="1:12">
      <c r="A830" s="89">
        <v>9780</v>
      </c>
      <c r="B830" s="50" t="s">
        <v>1175</v>
      </c>
      <c r="C830" s="89">
        <v>7798078235440</v>
      </c>
      <c r="D830" s="50" t="s">
        <v>1176</v>
      </c>
      <c r="E830" s="101">
        <v>34200.01</v>
      </c>
      <c r="F830" s="101">
        <v>27360.008000000002</v>
      </c>
      <c r="G830" s="133">
        <v>6840.0020000000004</v>
      </c>
      <c r="H830" s="50" t="s">
        <v>17</v>
      </c>
      <c r="I830" s="50" t="s">
        <v>74</v>
      </c>
      <c r="J830" s="52">
        <v>46178</v>
      </c>
      <c r="K830" s="52">
        <v>46234</v>
      </c>
      <c r="L830" s="134" t="s">
        <v>734</v>
      </c>
    </row>
    <row r="831" spans="1:12">
      <c r="A831" s="89">
        <v>661658</v>
      </c>
      <c r="B831" s="50" t="s">
        <v>1177</v>
      </c>
      <c r="C831" s="89">
        <v>6616581111116</v>
      </c>
      <c r="D831" s="50" t="s">
        <v>1178</v>
      </c>
      <c r="E831" s="101">
        <v>52200</v>
      </c>
      <c r="F831" s="101">
        <v>41760</v>
      </c>
      <c r="G831" s="133">
        <v>10440</v>
      </c>
      <c r="H831" s="50" t="s">
        <v>17</v>
      </c>
      <c r="I831" s="50" t="s">
        <v>74</v>
      </c>
      <c r="J831" s="52">
        <v>46178</v>
      </c>
      <c r="K831" s="52">
        <v>46234</v>
      </c>
      <c r="L831" s="134" t="s">
        <v>734</v>
      </c>
    </row>
    <row r="832" spans="1:12">
      <c r="A832" s="89">
        <v>65654</v>
      </c>
      <c r="B832" s="50" t="s">
        <v>1179</v>
      </c>
      <c r="C832" s="89">
        <v>7798078236935</v>
      </c>
      <c r="D832" s="50" t="s">
        <v>1180</v>
      </c>
      <c r="E832" s="101">
        <v>15750.16</v>
      </c>
      <c r="F832" s="101">
        <v>12600.128000000001</v>
      </c>
      <c r="G832" s="133">
        <v>3150.0319999999992</v>
      </c>
      <c r="H832" s="50" t="s">
        <v>17</v>
      </c>
      <c r="I832" s="50" t="s">
        <v>74</v>
      </c>
      <c r="J832" s="52">
        <v>46178</v>
      </c>
      <c r="K832" s="52">
        <v>46234</v>
      </c>
      <c r="L832" s="134" t="s">
        <v>734</v>
      </c>
    </row>
    <row r="833" spans="1:12">
      <c r="A833" s="89">
        <v>661935</v>
      </c>
      <c r="B833" s="50" t="s">
        <v>1181</v>
      </c>
      <c r="C833" s="89">
        <v>7798078237604</v>
      </c>
      <c r="D833" s="50" t="s">
        <v>1182</v>
      </c>
      <c r="E833" s="101">
        <v>11250.11</v>
      </c>
      <c r="F833" s="101">
        <v>9000.0880000000016</v>
      </c>
      <c r="G833" s="133">
        <v>2250.021999999999</v>
      </c>
      <c r="H833" s="50" t="s">
        <v>17</v>
      </c>
      <c r="I833" s="50" t="s">
        <v>74</v>
      </c>
      <c r="J833" s="52">
        <v>46178</v>
      </c>
      <c r="K833" s="52">
        <v>46234</v>
      </c>
      <c r="L833" s="134" t="s">
        <v>734</v>
      </c>
    </row>
    <row r="834" spans="1:12">
      <c r="A834" s="89">
        <v>660082</v>
      </c>
      <c r="B834" s="50" t="s">
        <v>1183</v>
      </c>
      <c r="C834" s="89">
        <v>7798078237116</v>
      </c>
      <c r="D834" s="50" t="s">
        <v>1184</v>
      </c>
      <c r="E834" s="101">
        <v>19800</v>
      </c>
      <c r="F834" s="101">
        <v>15840</v>
      </c>
      <c r="G834" s="133">
        <v>3960</v>
      </c>
      <c r="H834" s="50" t="s">
        <v>17</v>
      </c>
      <c r="I834" s="50" t="s">
        <v>74</v>
      </c>
      <c r="J834" s="52">
        <v>46178</v>
      </c>
      <c r="K834" s="52">
        <v>46234</v>
      </c>
      <c r="L834" s="134" t="s">
        <v>734</v>
      </c>
    </row>
    <row r="835" spans="1:12">
      <c r="A835" s="89">
        <v>2628</v>
      </c>
      <c r="B835" s="50" t="s">
        <v>1185</v>
      </c>
      <c r="C835" s="89">
        <v>7798078237154</v>
      </c>
      <c r="D835" s="50" t="s">
        <v>1186</v>
      </c>
      <c r="E835" s="101">
        <v>19800</v>
      </c>
      <c r="F835" s="101">
        <v>15840</v>
      </c>
      <c r="G835" s="133">
        <v>3960</v>
      </c>
      <c r="H835" s="50" t="s">
        <v>17</v>
      </c>
      <c r="I835" s="50" t="s">
        <v>74</v>
      </c>
      <c r="J835" s="52">
        <v>46178</v>
      </c>
      <c r="K835" s="52">
        <v>46234</v>
      </c>
      <c r="L835" s="134" t="s">
        <v>734</v>
      </c>
    </row>
    <row r="836" spans="1:12">
      <c r="A836" s="89">
        <v>660081</v>
      </c>
      <c r="B836" s="50" t="s">
        <v>1187</v>
      </c>
      <c r="C836" s="89">
        <v>7798078237178</v>
      </c>
      <c r="D836" s="50" t="s">
        <v>1188</v>
      </c>
      <c r="E836" s="101">
        <v>19800</v>
      </c>
      <c r="F836" s="101">
        <v>15840</v>
      </c>
      <c r="G836" s="133">
        <v>3960</v>
      </c>
      <c r="H836" s="50" t="s">
        <v>17</v>
      </c>
      <c r="I836" s="50" t="s">
        <v>74</v>
      </c>
      <c r="J836" s="52">
        <v>46178</v>
      </c>
      <c r="K836" s="52">
        <v>46234</v>
      </c>
      <c r="L836" s="134" t="s">
        <v>734</v>
      </c>
    </row>
    <row r="837" spans="1:12">
      <c r="A837" s="89">
        <v>665354</v>
      </c>
      <c r="B837" s="50" t="s">
        <v>1189</v>
      </c>
      <c r="C837" s="89">
        <v>7798078237970</v>
      </c>
      <c r="D837" s="50" t="s">
        <v>1190</v>
      </c>
      <c r="E837" s="101">
        <v>19800</v>
      </c>
      <c r="F837" s="101">
        <v>15840</v>
      </c>
      <c r="G837" s="133">
        <v>3960</v>
      </c>
      <c r="H837" s="50" t="s">
        <v>17</v>
      </c>
      <c r="I837" s="50" t="s">
        <v>74</v>
      </c>
      <c r="J837" s="52">
        <v>46178</v>
      </c>
      <c r="K837" s="52">
        <v>46234</v>
      </c>
      <c r="L837" s="134" t="s">
        <v>734</v>
      </c>
    </row>
    <row r="838" spans="1:12">
      <c r="A838" s="89">
        <v>660080</v>
      </c>
      <c r="B838" s="50" t="s">
        <v>1191</v>
      </c>
      <c r="C838" s="89">
        <v>7798078237130</v>
      </c>
      <c r="D838" s="50" t="s">
        <v>1192</v>
      </c>
      <c r="E838" s="101">
        <v>19800</v>
      </c>
      <c r="F838" s="101">
        <v>15840</v>
      </c>
      <c r="G838" s="133">
        <v>3960</v>
      </c>
      <c r="H838" s="50" t="s">
        <v>17</v>
      </c>
      <c r="I838" s="50" t="s">
        <v>74</v>
      </c>
      <c r="J838" s="52">
        <v>46178</v>
      </c>
      <c r="K838" s="52">
        <v>46234</v>
      </c>
      <c r="L838" s="134" t="s">
        <v>734</v>
      </c>
    </row>
    <row r="839" spans="1:12">
      <c r="A839" s="89">
        <v>664818</v>
      </c>
      <c r="B839" s="50">
        <v>0</v>
      </c>
      <c r="C839" s="89">
        <v>7798162670355</v>
      </c>
      <c r="D839" s="50" t="s">
        <v>1193</v>
      </c>
      <c r="E839" s="101">
        <v>3705.299</v>
      </c>
      <c r="F839" s="101">
        <v>2964.2392</v>
      </c>
      <c r="G839" s="133">
        <v>741.0598</v>
      </c>
      <c r="H839" s="50" t="s">
        <v>17</v>
      </c>
      <c r="I839" s="50" t="s">
        <v>74</v>
      </c>
      <c r="J839" s="52">
        <v>46178</v>
      </c>
      <c r="K839" s="52">
        <v>46234</v>
      </c>
      <c r="L839" s="134" t="s">
        <v>734</v>
      </c>
    </row>
    <row r="840" spans="1:12">
      <c r="A840" s="89">
        <v>663268</v>
      </c>
      <c r="B840" s="50">
        <v>0</v>
      </c>
      <c r="C840" s="89">
        <v>7798127633142</v>
      </c>
      <c r="D840" s="50" t="s">
        <v>1194</v>
      </c>
      <c r="E840" s="101">
        <v>10906.45</v>
      </c>
      <c r="F840" s="101">
        <v>8725.1600000000017</v>
      </c>
      <c r="G840" s="133">
        <v>2181.2899999999991</v>
      </c>
      <c r="H840" s="50" t="s">
        <v>17</v>
      </c>
      <c r="I840" s="50" t="s">
        <v>74</v>
      </c>
      <c r="J840" s="52">
        <v>46178</v>
      </c>
      <c r="K840" s="52">
        <v>46234</v>
      </c>
      <c r="L840" s="134" t="s">
        <v>734</v>
      </c>
    </row>
    <row r="841" spans="1:12">
      <c r="A841" s="89">
        <v>663261</v>
      </c>
      <c r="B841" s="50">
        <v>0</v>
      </c>
      <c r="C841" s="89">
        <v>7798127630042</v>
      </c>
      <c r="D841" s="50" t="s">
        <v>1195</v>
      </c>
      <c r="E841" s="101">
        <v>7012.4840000000004</v>
      </c>
      <c r="F841" s="101">
        <v>5609.9872000000005</v>
      </c>
      <c r="G841" s="133">
        <v>1402.4967999999999</v>
      </c>
      <c r="H841" s="50" t="s">
        <v>17</v>
      </c>
      <c r="I841" s="50" t="s">
        <v>74</v>
      </c>
      <c r="J841" s="52">
        <v>46178</v>
      </c>
      <c r="K841" s="52">
        <v>46234</v>
      </c>
      <c r="L841" s="134" t="s">
        <v>734</v>
      </c>
    </row>
    <row r="842" spans="1:12">
      <c r="A842" s="89">
        <v>663264</v>
      </c>
      <c r="B842" s="50">
        <v>0</v>
      </c>
      <c r="C842" s="89">
        <v>7798127630165</v>
      </c>
      <c r="D842" s="50" t="s">
        <v>1196</v>
      </c>
      <c r="E842" s="101">
        <v>10720.19</v>
      </c>
      <c r="F842" s="101">
        <v>8576.152</v>
      </c>
      <c r="G842" s="133">
        <v>2144.0380000000005</v>
      </c>
      <c r="H842" s="50" t="s">
        <v>17</v>
      </c>
      <c r="I842" s="50" t="s">
        <v>74</v>
      </c>
      <c r="J842" s="52">
        <v>46178</v>
      </c>
      <c r="K842" s="52">
        <v>46234</v>
      </c>
      <c r="L842" s="134" t="s">
        <v>734</v>
      </c>
    </row>
    <row r="843" spans="1:12">
      <c r="A843" s="89">
        <v>663265</v>
      </c>
      <c r="B843" s="50">
        <v>0</v>
      </c>
      <c r="C843" s="89">
        <v>7798127630837</v>
      </c>
      <c r="D843" s="50" t="s">
        <v>1197</v>
      </c>
      <c r="E843" s="101">
        <v>18282.990000000002</v>
      </c>
      <c r="F843" s="101">
        <v>14626.392000000002</v>
      </c>
      <c r="G843" s="133">
        <v>3656.598</v>
      </c>
      <c r="H843" s="50" t="s">
        <v>17</v>
      </c>
      <c r="I843" s="50" t="s">
        <v>74</v>
      </c>
      <c r="J843" s="52">
        <v>46178</v>
      </c>
      <c r="K843" s="52">
        <v>46234</v>
      </c>
      <c r="L843" s="134" t="s">
        <v>734</v>
      </c>
    </row>
    <row r="844" spans="1:12">
      <c r="A844" s="89">
        <v>663263</v>
      </c>
      <c r="B844" s="50">
        <v>0</v>
      </c>
      <c r="C844" s="89">
        <v>7798127630134</v>
      </c>
      <c r="D844" s="50" t="s">
        <v>1198</v>
      </c>
      <c r="E844" s="101">
        <v>10720.19</v>
      </c>
      <c r="F844" s="101">
        <v>8576.152</v>
      </c>
      <c r="G844" s="133">
        <v>2144.0380000000005</v>
      </c>
      <c r="H844" s="50" t="s">
        <v>17</v>
      </c>
      <c r="I844" s="50" t="s">
        <v>74</v>
      </c>
      <c r="J844" s="52">
        <v>46178</v>
      </c>
      <c r="K844" s="52">
        <v>46234</v>
      </c>
      <c r="L844" s="134" t="s">
        <v>734</v>
      </c>
    </row>
    <row r="845" spans="1:12">
      <c r="A845" s="89">
        <v>664286</v>
      </c>
      <c r="B845" s="50">
        <v>52776</v>
      </c>
      <c r="C845" s="89">
        <v>7790093527760</v>
      </c>
      <c r="D845" s="50" t="s">
        <v>1199</v>
      </c>
      <c r="E845" s="101">
        <v>12394.58</v>
      </c>
      <c r="F845" s="101">
        <v>9915.6640000000007</v>
      </c>
      <c r="G845" s="133">
        <v>2478.9159999999993</v>
      </c>
      <c r="H845" s="50" t="s">
        <v>17</v>
      </c>
      <c r="I845" s="50" t="s">
        <v>74</v>
      </c>
      <c r="J845" s="52">
        <v>46178</v>
      </c>
      <c r="K845" s="52">
        <v>46234</v>
      </c>
      <c r="L845" s="134" t="s">
        <v>734</v>
      </c>
    </row>
    <row r="846" spans="1:12">
      <c r="A846" s="89">
        <v>662734</v>
      </c>
      <c r="B846" s="50">
        <v>1422</v>
      </c>
      <c r="C846" s="89">
        <v>7798123971422</v>
      </c>
      <c r="D846" s="50" t="s">
        <v>1200</v>
      </c>
      <c r="E846" s="101">
        <v>16141.701999999999</v>
      </c>
      <c r="F846" s="101">
        <v>12913.3616</v>
      </c>
      <c r="G846" s="133">
        <v>3228.3403999999991</v>
      </c>
      <c r="H846" s="50" t="s">
        <v>17</v>
      </c>
      <c r="I846" s="50" t="s">
        <v>74</v>
      </c>
      <c r="J846" s="52">
        <v>46178</v>
      </c>
      <c r="K846" s="52">
        <v>46234</v>
      </c>
      <c r="L846" s="134" t="s">
        <v>734</v>
      </c>
    </row>
    <row r="847" spans="1:12">
      <c r="A847" s="89">
        <v>661168</v>
      </c>
      <c r="B847" s="50">
        <v>0</v>
      </c>
      <c r="C847" s="89">
        <v>7798353190624</v>
      </c>
      <c r="D847" s="50" t="s">
        <v>1201</v>
      </c>
      <c r="E847" s="101">
        <v>1800.008</v>
      </c>
      <c r="F847" s="101">
        <v>1440.0064000000002</v>
      </c>
      <c r="G847" s="133">
        <v>360.00159999999983</v>
      </c>
      <c r="H847" s="50" t="s">
        <v>17</v>
      </c>
      <c r="I847" s="50" t="s">
        <v>74</v>
      </c>
      <c r="J847" s="52">
        <v>46178</v>
      </c>
      <c r="K847" s="52">
        <v>46234</v>
      </c>
      <c r="L847" s="134" t="s">
        <v>734</v>
      </c>
    </row>
    <row r="848" spans="1:12">
      <c r="A848" s="89">
        <v>661639</v>
      </c>
      <c r="B848" s="50">
        <v>100169404</v>
      </c>
      <c r="C848" s="89">
        <v>7791728239331</v>
      </c>
      <c r="D848" s="50" t="s">
        <v>1202</v>
      </c>
      <c r="E848" s="101">
        <v>3015.0050000000001</v>
      </c>
      <c r="F848" s="101">
        <v>2412.0040000000004</v>
      </c>
      <c r="G848" s="133">
        <v>603.00099999999975</v>
      </c>
      <c r="H848" s="50" t="s">
        <v>17</v>
      </c>
      <c r="I848" s="50" t="s">
        <v>74</v>
      </c>
      <c r="J848" s="52">
        <v>46178</v>
      </c>
      <c r="K848" s="52">
        <v>46234</v>
      </c>
      <c r="L848" s="134" t="s">
        <v>734</v>
      </c>
    </row>
    <row r="849" spans="1:12">
      <c r="A849" s="89">
        <v>661641</v>
      </c>
      <c r="B849" s="50">
        <v>100179530</v>
      </c>
      <c r="C849" s="89">
        <v>7791728242577</v>
      </c>
      <c r="D849" s="50" t="s">
        <v>1203</v>
      </c>
      <c r="E849" s="101">
        <v>3015.0050000000001</v>
      </c>
      <c r="F849" s="101">
        <v>2412.0040000000004</v>
      </c>
      <c r="G849" s="133">
        <v>603.00099999999975</v>
      </c>
      <c r="H849" s="50" t="s">
        <v>17</v>
      </c>
      <c r="I849" s="50" t="s">
        <v>74</v>
      </c>
      <c r="J849" s="52">
        <v>46178</v>
      </c>
      <c r="K849" s="52">
        <v>46234</v>
      </c>
      <c r="L849" s="134" t="s">
        <v>734</v>
      </c>
    </row>
    <row r="850" spans="1:12">
      <c r="A850" s="90">
        <v>661640</v>
      </c>
      <c r="B850" s="91">
        <v>100169402</v>
      </c>
      <c r="C850" s="90">
        <v>7791728239324</v>
      </c>
      <c r="D850" s="91" t="s">
        <v>1204</v>
      </c>
      <c r="E850" s="101">
        <v>3015.0050000000001</v>
      </c>
      <c r="F850" s="102">
        <v>2412.0040000000004</v>
      </c>
      <c r="G850" s="135">
        <v>603.00099999999975</v>
      </c>
      <c r="H850" s="91" t="s">
        <v>17</v>
      </c>
      <c r="I850" s="91" t="s">
        <v>74</v>
      </c>
      <c r="J850" s="92">
        <v>46178</v>
      </c>
      <c r="K850" s="92">
        <v>46234</v>
      </c>
      <c r="L850" s="134" t="s">
        <v>734</v>
      </c>
    </row>
    <row r="851" spans="1:12">
      <c r="A851" s="89">
        <v>13506</v>
      </c>
      <c r="B851" s="50">
        <v>7790703002397</v>
      </c>
      <c r="C851" s="89">
        <v>7790703165238</v>
      </c>
      <c r="D851" s="50" t="s">
        <v>1205</v>
      </c>
      <c r="E851" s="101">
        <v>8307.2950000000001</v>
      </c>
      <c r="F851" s="101">
        <v>6230.4712500000005</v>
      </c>
      <c r="G851" s="133">
        <v>2076.8237499999996</v>
      </c>
      <c r="H851" s="50" t="s">
        <v>17</v>
      </c>
      <c r="I851" s="50" t="s">
        <v>23</v>
      </c>
      <c r="J851" s="52">
        <v>46178</v>
      </c>
      <c r="K851" s="52">
        <v>46234</v>
      </c>
      <c r="L851" s="134" t="s">
        <v>734</v>
      </c>
    </row>
    <row r="852" spans="1:12">
      <c r="A852" s="89">
        <v>659909</v>
      </c>
      <c r="B852" s="50">
        <v>7790703200588</v>
      </c>
      <c r="C852" s="89">
        <v>7790703168345</v>
      </c>
      <c r="D852" s="50" t="s">
        <v>1206</v>
      </c>
      <c r="E852" s="101">
        <v>14376.09</v>
      </c>
      <c r="F852" s="101">
        <v>10782.067500000001</v>
      </c>
      <c r="G852" s="133">
        <v>3594.0224999999991</v>
      </c>
      <c r="H852" s="50" t="s">
        <v>17</v>
      </c>
      <c r="I852" s="50" t="s">
        <v>23</v>
      </c>
      <c r="J852" s="52">
        <v>46178</v>
      </c>
      <c r="K852" s="52">
        <v>46234</v>
      </c>
      <c r="L852" s="134" t="s">
        <v>734</v>
      </c>
    </row>
    <row r="853" spans="1:12">
      <c r="A853" s="89">
        <v>5581</v>
      </c>
      <c r="B853" s="50">
        <v>22455</v>
      </c>
      <c r="C853" s="89">
        <v>7790717153467</v>
      </c>
      <c r="D853" s="50" t="s">
        <v>1207</v>
      </c>
      <c r="E853" s="101">
        <v>7553.8519999999999</v>
      </c>
      <c r="F853" s="101">
        <v>5665.3890000000001</v>
      </c>
      <c r="G853" s="133">
        <v>1888.4629999999997</v>
      </c>
      <c r="H853" s="50" t="s">
        <v>17</v>
      </c>
      <c r="I853" s="50" t="s">
        <v>23</v>
      </c>
      <c r="J853" s="52">
        <v>46178</v>
      </c>
      <c r="K853" s="52">
        <v>46234</v>
      </c>
      <c r="L853" s="134" t="s">
        <v>734</v>
      </c>
    </row>
    <row r="854" spans="1:12">
      <c r="A854" s="89">
        <v>660858</v>
      </c>
      <c r="B854" s="50">
        <v>692</v>
      </c>
      <c r="C854" s="89">
        <v>7798123970692</v>
      </c>
      <c r="D854" s="50" t="s">
        <v>1208</v>
      </c>
      <c r="E854" s="101">
        <v>16530.75</v>
      </c>
      <c r="F854" s="101">
        <v>12398.0625</v>
      </c>
      <c r="G854" s="133">
        <v>4132.6875</v>
      </c>
      <c r="H854" s="50" t="s">
        <v>17</v>
      </c>
      <c r="I854" s="50" t="s">
        <v>23</v>
      </c>
      <c r="J854" s="52">
        <v>46178</v>
      </c>
      <c r="K854" s="52">
        <v>46234</v>
      </c>
      <c r="L854" s="134" t="s">
        <v>734</v>
      </c>
    </row>
    <row r="855" spans="1:12">
      <c r="A855" s="89">
        <v>663047</v>
      </c>
      <c r="B855" s="50">
        <v>2207</v>
      </c>
      <c r="C855" s="89">
        <v>7798123972207</v>
      </c>
      <c r="D855" s="50" t="s">
        <v>1209</v>
      </c>
      <c r="E855" s="101">
        <v>16530.75</v>
      </c>
      <c r="F855" s="101">
        <v>12398.0625</v>
      </c>
      <c r="G855" s="133">
        <v>4132.6875</v>
      </c>
      <c r="H855" s="50" t="s">
        <v>17</v>
      </c>
      <c r="I855" s="50" t="s">
        <v>23</v>
      </c>
      <c r="J855" s="52">
        <v>46178</v>
      </c>
      <c r="K855" s="52">
        <v>46234</v>
      </c>
      <c r="L855" s="134" t="s">
        <v>734</v>
      </c>
    </row>
    <row r="856" spans="1:12">
      <c r="A856" s="89">
        <v>662740</v>
      </c>
      <c r="B856" s="50">
        <v>1194</v>
      </c>
      <c r="C856" s="89">
        <v>7798123972887</v>
      </c>
      <c r="D856" s="50" t="s">
        <v>1210</v>
      </c>
      <c r="E856" s="101">
        <v>70436.52</v>
      </c>
      <c r="F856" s="101">
        <v>52827.39</v>
      </c>
      <c r="G856" s="133">
        <v>17609.130000000005</v>
      </c>
      <c r="H856" s="50" t="s">
        <v>17</v>
      </c>
      <c r="I856" s="50" t="s">
        <v>23</v>
      </c>
      <c r="J856" s="52">
        <v>46178</v>
      </c>
      <c r="K856" s="52">
        <v>46234</v>
      </c>
      <c r="L856" s="134" t="s">
        <v>734</v>
      </c>
    </row>
    <row r="857" spans="1:12">
      <c r="A857" s="89">
        <v>663259</v>
      </c>
      <c r="B857" s="50">
        <v>0</v>
      </c>
      <c r="C857" s="89">
        <v>7790843000239</v>
      </c>
      <c r="D857" s="50" t="s">
        <v>1211</v>
      </c>
      <c r="E857" s="101">
        <v>13338.82</v>
      </c>
      <c r="F857" s="101">
        <v>10004.115</v>
      </c>
      <c r="G857" s="133">
        <v>3334.7049999999999</v>
      </c>
      <c r="H857" s="50" t="s">
        <v>17</v>
      </c>
      <c r="I857" s="50" t="s">
        <v>23</v>
      </c>
      <c r="J857" s="52">
        <v>46178</v>
      </c>
      <c r="K857" s="52">
        <v>46234</v>
      </c>
      <c r="L857" s="134" t="s">
        <v>734</v>
      </c>
    </row>
    <row r="858" spans="1:12">
      <c r="A858" s="89">
        <v>662203</v>
      </c>
      <c r="B858" s="50" t="s">
        <v>1212</v>
      </c>
      <c r="C858" s="89">
        <v>7798121461031</v>
      </c>
      <c r="D858" s="50" t="s">
        <v>1213</v>
      </c>
      <c r="E858" s="101">
        <v>24976.21</v>
      </c>
      <c r="F858" s="101">
        <v>18732.157500000001</v>
      </c>
      <c r="G858" s="133">
        <v>6244.052499999998</v>
      </c>
      <c r="H858" s="50" t="s">
        <v>17</v>
      </c>
      <c r="I858" s="50" t="s">
        <v>23</v>
      </c>
      <c r="J858" s="52">
        <v>46178</v>
      </c>
      <c r="K858" s="52">
        <v>46234</v>
      </c>
      <c r="L858" s="134" t="s">
        <v>734</v>
      </c>
    </row>
    <row r="859" spans="1:12">
      <c r="A859" s="89">
        <v>664271</v>
      </c>
      <c r="B859" s="50">
        <v>7790703204661</v>
      </c>
      <c r="C859" s="89">
        <v>7790703204654</v>
      </c>
      <c r="D859" s="50" t="s">
        <v>1214</v>
      </c>
      <c r="E859" s="101">
        <v>20937.509999999998</v>
      </c>
      <c r="F859" s="101">
        <v>15703.1325</v>
      </c>
      <c r="G859" s="133">
        <v>5234.3774999999987</v>
      </c>
      <c r="H859" s="50" t="s">
        <v>17</v>
      </c>
      <c r="I859" s="50" t="s">
        <v>23</v>
      </c>
      <c r="J859" s="52">
        <v>46178</v>
      </c>
      <c r="K859" s="52">
        <v>46234</v>
      </c>
      <c r="L859" s="134" t="s">
        <v>734</v>
      </c>
    </row>
    <row r="860" spans="1:12">
      <c r="A860" s="89">
        <v>3935</v>
      </c>
      <c r="B860" s="50">
        <v>7790703205507</v>
      </c>
      <c r="C860" s="89">
        <v>7790703167331</v>
      </c>
      <c r="D860" s="50" t="s">
        <v>1215</v>
      </c>
      <c r="E860" s="101">
        <v>6790.09</v>
      </c>
      <c r="F860" s="101">
        <v>5092.5675000000001</v>
      </c>
      <c r="G860" s="133">
        <v>1697.5225</v>
      </c>
      <c r="H860" s="50" t="s">
        <v>17</v>
      </c>
      <c r="I860" s="50" t="s">
        <v>23</v>
      </c>
      <c r="J860" s="52">
        <v>46178</v>
      </c>
      <c r="K860" s="52">
        <v>46234</v>
      </c>
      <c r="L860" s="134" t="s">
        <v>734</v>
      </c>
    </row>
    <row r="861" spans="1:12">
      <c r="A861" s="89">
        <v>664272</v>
      </c>
      <c r="B861" s="50">
        <v>7790703206047</v>
      </c>
      <c r="C861" s="89">
        <v>7790703206030</v>
      </c>
      <c r="D861" s="50" t="s">
        <v>1216</v>
      </c>
      <c r="E861" s="101">
        <v>20937.509999999998</v>
      </c>
      <c r="F861" s="101">
        <v>15703.1325</v>
      </c>
      <c r="G861" s="133">
        <v>5234.3774999999987</v>
      </c>
      <c r="H861" s="50" t="s">
        <v>17</v>
      </c>
      <c r="I861" s="50" t="s">
        <v>23</v>
      </c>
      <c r="J861" s="52">
        <v>46178</v>
      </c>
      <c r="K861" s="52">
        <v>46234</v>
      </c>
      <c r="L861" s="134" t="s">
        <v>734</v>
      </c>
    </row>
    <row r="862" spans="1:12">
      <c r="A862" s="89">
        <v>663283</v>
      </c>
      <c r="B862" s="50">
        <v>76044</v>
      </c>
      <c r="C862" s="89">
        <v>7790070777461</v>
      </c>
      <c r="D862" s="50" t="s">
        <v>1217</v>
      </c>
      <c r="E862" s="101">
        <v>31020.67</v>
      </c>
      <c r="F862" s="101">
        <v>23265.502499999999</v>
      </c>
      <c r="G862" s="105">
        <v>7755.1674999999996</v>
      </c>
      <c r="H862" s="50" t="s">
        <v>17</v>
      </c>
      <c r="I862" s="50" t="s">
        <v>23</v>
      </c>
      <c r="J862" s="52">
        <v>46206</v>
      </c>
      <c r="K862" s="52">
        <v>46234</v>
      </c>
      <c r="L862" s="134" t="s">
        <v>734</v>
      </c>
    </row>
    <row r="863" spans="1:12">
      <c r="A863" s="89">
        <v>663284</v>
      </c>
      <c r="B863" s="50">
        <v>76045</v>
      </c>
      <c r="C863" s="89">
        <v>7790070778260</v>
      </c>
      <c r="D863" s="50" t="s">
        <v>1218</v>
      </c>
      <c r="E863" s="101">
        <v>31020.67</v>
      </c>
      <c r="F863" s="101">
        <v>23265.502499999999</v>
      </c>
      <c r="G863" s="105">
        <v>7755.1674999999996</v>
      </c>
      <c r="H863" s="50" t="s">
        <v>17</v>
      </c>
      <c r="I863" s="50" t="s">
        <v>23</v>
      </c>
      <c r="J863" s="52">
        <v>46206</v>
      </c>
      <c r="K863" s="52">
        <v>46234</v>
      </c>
      <c r="L863" s="134" t="s">
        <v>734</v>
      </c>
    </row>
    <row r="864" spans="1:12">
      <c r="A864" s="89">
        <v>664085</v>
      </c>
      <c r="B864" s="50">
        <v>760449</v>
      </c>
      <c r="C864" s="89">
        <v>7790070760449</v>
      </c>
      <c r="D864" s="50" t="s">
        <v>1219</v>
      </c>
      <c r="E864" s="101">
        <v>29226.06</v>
      </c>
      <c r="F864" s="101">
        <v>21919.545000000002</v>
      </c>
      <c r="G864" s="133">
        <v>7306.5149999999994</v>
      </c>
      <c r="H864" s="50" t="s">
        <v>17</v>
      </c>
      <c r="I864" s="50" t="s">
        <v>23</v>
      </c>
      <c r="J864" s="52">
        <v>46178</v>
      </c>
      <c r="K864" s="52">
        <v>46234</v>
      </c>
      <c r="L864" s="134" t="s">
        <v>734</v>
      </c>
    </row>
    <row r="865" spans="1:12">
      <c r="A865" s="89">
        <v>662321</v>
      </c>
      <c r="B865" s="50">
        <v>321</v>
      </c>
      <c r="C865" s="89">
        <v>7798152263086</v>
      </c>
      <c r="D865" s="50" t="s">
        <v>1220</v>
      </c>
      <c r="E865" s="101">
        <v>16820.04</v>
      </c>
      <c r="F865" s="101">
        <v>12615.03</v>
      </c>
      <c r="G865" s="133">
        <v>4205.01</v>
      </c>
      <c r="H865" s="50" t="s">
        <v>17</v>
      </c>
      <c r="I865" s="50" t="s">
        <v>23</v>
      </c>
      <c r="J865" s="52">
        <v>46178</v>
      </c>
      <c r="K865" s="52">
        <v>46234</v>
      </c>
      <c r="L865" s="134" t="s">
        <v>734</v>
      </c>
    </row>
    <row r="866" spans="1:12">
      <c r="A866" s="89">
        <v>660485</v>
      </c>
      <c r="B866" s="50">
        <v>0</v>
      </c>
      <c r="C866" s="89">
        <v>7796138000250</v>
      </c>
      <c r="D866" s="50" t="s">
        <v>1221</v>
      </c>
      <c r="E866" s="101">
        <v>5924.4660000000003</v>
      </c>
      <c r="F866" s="101">
        <v>4443.3495000000003</v>
      </c>
      <c r="G866" s="133">
        <v>1481.1165000000001</v>
      </c>
      <c r="H866" s="50" t="s">
        <v>17</v>
      </c>
      <c r="I866" s="50" t="s">
        <v>23</v>
      </c>
      <c r="J866" s="52">
        <v>46178</v>
      </c>
      <c r="K866" s="52">
        <v>46234</v>
      </c>
      <c r="L866" s="134" t="s">
        <v>734</v>
      </c>
    </row>
    <row r="867" spans="1:12">
      <c r="A867" s="89">
        <v>663149</v>
      </c>
      <c r="B867" s="50">
        <v>931</v>
      </c>
      <c r="C867" s="89">
        <v>7793359000335</v>
      </c>
      <c r="D867" s="50" t="s">
        <v>1222</v>
      </c>
      <c r="E867" s="101">
        <v>18870.009999999998</v>
      </c>
      <c r="F867" s="101">
        <v>14152.5075</v>
      </c>
      <c r="G867" s="133">
        <v>4717.5024999999987</v>
      </c>
      <c r="H867" s="50" t="s">
        <v>17</v>
      </c>
      <c r="I867" s="50" t="s">
        <v>23</v>
      </c>
      <c r="J867" s="52">
        <v>46178</v>
      </c>
      <c r="K867" s="52">
        <v>46234</v>
      </c>
      <c r="L867" s="134" t="s">
        <v>734</v>
      </c>
    </row>
    <row r="868" spans="1:12">
      <c r="A868" s="89">
        <v>660854</v>
      </c>
      <c r="B868" s="50">
        <v>76129</v>
      </c>
      <c r="C868" s="89">
        <v>7790314071508</v>
      </c>
      <c r="D868" s="50" t="s">
        <v>1223</v>
      </c>
      <c r="E868" s="101">
        <v>13829.39</v>
      </c>
      <c r="F868" s="101">
        <v>10372.0425</v>
      </c>
      <c r="G868" s="133">
        <v>3457.3474999999999</v>
      </c>
      <c r="H868" s="50" t="s">
        <v>17</v>
      </c>
      <c r="I868" s="50" t="s">
        <v>23</v>
      </c>
      <c r="J868" s="52">
        <v>46178</v>
      </c>
      <c r="K868" s="52">
        <v>46234</v>
      </c>
      <c r="L868" s="134" t="s">
        <v>734</v>
      </c>
    </row>
    <row r="869" spans="1:12">
      <c r="A869" s="89">
        <v>660855</v>
      </c>
      <c r="B869" s="50">
        <v>76127</v>
      </c>
      <c r="C869" s="89">
        <v>7790314071485</v>
      </c>
      <c r="D869" s="50" t="s">
        <v>1224</v>
      </c>
      <c r="E869" s="101">
        <v>13829.39</v>
      </c>
      <c r="F869" s="101">
        <v>10372.0425</v>
      </c>
      <c r="G869" s="133">
        <v>3457.3474999999999</v>
      </c>
      <c r="H869" s="50" t="s">
        <v>17</v>
      </c>
      <c r="I869" s="50" t="s">
        <v>23</v>
      </c>
      <c r="J869" s="52">
        <v>46178</v>
      </c>
      <c r="K869" s="52">
        <v>46234</v>
      </c>
      <c r="L869" s="134" t="s">
        <v>734</v>
      </c>
    </row>
    <row r="870" spans="1:12">
      <c r="A870" s="89">
        <v>5443</v>
      </c>
      <c r="B870" s="50">
        <v>29913</v>
      </c>
      <c r="C870" s="89">
        <v>7790314003950</v>
      </c>
      <c r="D870" s="50" t="s">
        <v>1225</v>
      </c>
      <c r="E870" s="101">
        <v>8244.08</v>
      </c>
      <c r="F870" s="101">
        <v>6183.0599999999995</v>
      </c>
      <c r="G870" s="133">
        <v>2061.0200000000004</v>
      </c>
      <c r="H870" s="50" t="s">
        <v>17</v>
      </c>
      <c r="I870" s="50" t="s">
        <v>23</v>
      </c>
      <c r="J870" s="52">
        <v>46178</v>
      </c>
      <c r="K870" s="52">
        <v>46234</v>
      </c>
      <c r="L870" s="134" t="s">
        <v>734</v>
      </c>
    </row>
    <row r="871" spans="1:12">
      <c r="A871" s="89">
        <v>660515</v>
      </c>
      <c r="B871" s="50">
        <v>31010102275020</v>
      </c>
      <c r="C871" s="89">
        <v>7790703166518</v>
      </c>
      <c r="D871" s="50" t="s">
        <v>1226</v>
      </c>
      <c r="E871" s="101">
        <v>11444.85</v>
      </c>
      <c r="F871" s="101">
        <v>8583.6375000000007</v>
      </c>
      <c r="G871" s="133">
        <v>2861.2124999999996</v>
      </c>
      <c r="H871" s="50" t="s">
        <v>17</v>
      </c>
      <c r="I871" s="50" t="s">
        <v>23</v>
      </c>
      <c r="J871" s="52">
        <v>46178</v>
      </c>
      <c r="K871" s="52">
        <v>46234</v>
      </c>
      <c r="L871" s="134" t="s">
        <v>734</v>
      </c>
    </row>
    <row r="872" spans="1:12">
      <c r="A872" s="89">
        <v>659902</v>
      </c>
      <c r="B872" s="50">
        <v>7790703199134</v>
      </c>
      <c r="C872" s="89">
        <v>7790703199134</v>
      </c>
      <c r="D872" s="50" t="s">
        <v>1227</v>
      </c>
      <c r="E872" s="101">
        <v>7515.9920000000002</v>
      </c>
      <c r="F872" s="101">
        <v>5636.9940000000006</v>
      </c>
      <c r="G872" s="133">
        <v>1878.9979999999996</v>
      </c>
      <c r="H872" s="50" t="s">
        <v>17</v>
      </c>
      <c r="I872" s="50" t="s">
        <v>23</v>
      </c>
      <c r="J872" s="52">
        <v>46178</v>
      </c>
      <c r="K872" s="52">
        <v>46234</v>
      </c>
      <c r="L872" s="134" t="s">
        <v>734</v>
      </c>
    </row>
    <row r="873" spans="1:12">
      <c r="A873" s="89">
        <v>659899</v>
      </c>
      <c r="B873" s="50">
        <v>7790703199189</v>
      </c>
      <c r="C873" s="89">
        <v>7790703199189</v>
      </c>
      <c r="D873" s="50" t="s">
        <v>1228</v>
      </c>
      <c r="E873" s="101">
        <v>5874.3329999999996</v>
      </c>
      <c r="F873" s="101">
        <v>4405.7497499999999</v>
      </c>
      <c r="G873" s="133">
        <v>1468.5832499999997</v>
      </c>
      <c r="H873" s="50" t="s">
        <v>17</v>
      </c>
      <c r="I873" s="50" t="s">
        <v>23</v>
      </c>
      <c r="J873" s="52">
        <v>46178</v>
      </c>
      <c r="K873" s="52">
        <v>46234</v>
      </c>
      <c r="L873" s="134" t="s">
        <v>734</v>
      </c>
    </row>
    <row r="874" spans="1:12">
      <c r="A874" s="89">
        <v>660577</v>
      </c>
      <c r="B874" s="50">
        <v>86023</v>
      </c>
      <c r="C874" s="89">
        <v>7790314064012</v>
      </c>
      <c r="D874" s="50" t="s">
        <v>1229</v>
      </c>
      <c r="E874" s="101">
        <v>4507.6620000000003</v>
      </c>
      <c r="F874" s="101">
        <v>3380.7465000000002</v>
      </c>
      <c r="G874" s="133">
        <v>1126.9155000000001</v>
      </c>
      <c r="H874" s="50" t="s">
        <v>17</v>
      </c>
      <c r="I874" s="50" t="s">
        <v>23</v>
      </c>
      <c r="J874" s="52">
        <v>46178</v>
      </c>
      <c r="K874" s="52">
        <v>46234</v>
      </c>
      <c r="L874" s="134" t="s">
        <v>734</v>
      </c>
    </row>
    <row r="875" spans="1:12">
      <c r="A875" s="89">
        <v>663188</v>
      </c>
      <c r="B875" s="50">
        <v>0</v>
      </c>
      <c r="C875" s="89">
        <v>7798368780100</v>
      </c>
      <c r="D875" s="50" t="s">
        <v>1230</v>
      </c>
      <c r="E875" s="101">
        <v>5596.7820000000002</v>
      </c>
      <c r="F875" s="101">
        <v>4197.5865000000003</v>
      </c>
      <c r="G875" s="133">
        <v>1399.1954999999998</v>
      </c>
      <c r="H875" s="50" t="s">
        <v>17</v>
      </c>
      <c r="I875" s="50" t="s">
        <v>23</v>
      </c>
      <c r="J875" s="52">
        <v>46178</v>
      </c>
      <c r="K875" s="52">
        <v>46234</v>
      </c>
      <c r="L875" s="134" t="s">
        <v>734</v>
      </c>
    </row>
    <row r="876" spans="1:12">
      <c r="A876" s="89">
        <v>663185</v>
      </c>
      <c r="B876" s="50">
        <v>0</v>
      </c>
      <c r="C876" s="89">
        <v>7798368780094</v>
      </c>
      <c r="D876" s="50" t="s">
        <v>1231</v>
      </c>
      <c r="E876" s="101">
        <v>5596.7820000000002</v>
      </c>
      <c r="F876" s="101">
        <v>4197.5865000000003</v>
      </c>
      <c r="G876" s="133">
        <v>1399.1954999999998</v>
      </c>
      <c r="H876" s="50" t="s">
        <v>17</v>
      </c>
      <c r="I876" s="50" t="s">
        <v>23</v>
      </c>
      <c r="J876" s="52">
        <v>46178</v>
      </c>
      <c r="K876" s="52">
        <v>46234</v>
      </c>
      <c r="L876" s="134" t="s">
        <v>734</v>
      </c>
    </row>
    <row r="877" spans="1:12">
      <c r="A877" s="89">
        <v>658068</v>
      </c>
      <c r="B877" s="50">
        <v>10010002522</v>
      </c>
      <c r="C877" s="89">
        <v>7791843009192</v>
      </c>
      <c r="D877" s="50" t="s">
        <v>1232</v>
      </c>
      <c r="E877" s="101">
        <v>6091.7640000000001</v>
      </c>
      <c r="F877" s="101">
        <v>4568.8230000000003</v>
      </c>
      <c r="G877" s="133">
        <v>1522.9409999999998</v>
      </c>
      <c r="H877" s="50" t="s">
        <v>17</v>
      </c>
      <c r="I877" s="50" t="s">
        <v>23</v>
      </c>
      <c r="J877" s="52">
        <v>46178</v>
      </c>
      <c r="K877" s="52">
        <v>46234</v>
      </c>
      <c r="L877" s="134" t="s">
        <v>734</v>
      </c>
    </row>
    <row r="878" spans="1:12">
      <c r="A878" s="89">
        <v>660328</v>
      </c>
      <c r="B878" s="50">
        <v>10008004622</v>
      </c>
      <c r="C878" s="89">
        <v>7791843019863</v>
      </c>
      <c r="D878" s="50" t="s">
        <v>1233</v>
      </c>
      <c r="E878" s="101">
        <v>8537.66</v>
      </c>
      <c r="F878" s="101">
        <v>6403.2449999999999</v>
      </c>
      <c r="G878" s="133">
        <v>2134.415</v>
      </c>
      <c r="H878" s="50" t="s">
        <v>17</v>
      </c>
      <c r="I878" s="50" t="s">
        <v>23</v>
      </c>
      <c r="J878" s="52">
        <v>46178</v>
      </c>
      <c r="K878" s="52">
        <v>46234</v>
      </c>
      <c r="L878" s="134" t="s">
        <v>734</v>
      </c>
    </row>
    <row r="879" spans="1:12">
      <c r="A879" s="89">
        <v>360</v>
      </c>
      <c r="B879" s="50">
        <v>10008000122</v>
      </c>
      <c r="C879" s="89">
        <v>7791843005026</v>
      </c>
      <c r="D879" s="50" t="s">
        <v>1234</v>
      </c>
      <c r="E879" s="101">
        <v>8537.66</v>
      </c>
      <c r="F879" s="101">
        <v>6403.2449999999999</v>
      </c>
      <c r="G879" s="133">
        <v>2134.415</v>
      </c>
      <c r="H879" s="50" t="s">
        <v>17</v>
      </c>
      <c r="I879" s="50" t="s">
        <v>23</v>
      </c>
      <c r="J879" s="52">
        <v>46178</v>
      </c>
      <c r="K879" s="52">
        <v>46234</v>
      </c>
      <c r="L879" s="134" t="s">
        <v>734</v>
      </c>
    </row>
    <row r="880" spans="1:12">
      <c r="A880" s="89">
        <v>12024</v>
      </c>
      <c r="B880" s="50">
        <v>35631</v>
      </c>
      <c r="C880" s="89">
        <v>7790314006364</v>
      </c>
      <c r="D880" s="50" t="s">
        <v>1235</v>
      </c>
      <c r="E880" s="101">
        <v>16227.57</v>
      </c>
      <c r="F880" s="101">
        <v>12170.6775</v>
      </c>
      <c r="G880" s="133">
        <v>4056.8924999999999</v>
      </c>
      <c r="H880" s="50" t="s">
        <v>17</v>
      </c>
      <c r="I880" s="50" t="s">
        <v>23</v>
      </c>
      <c r="J880" s="52">
        <v>46178</v>
      </c>
      <c r="K880" s="52">
        <v>46234</v>
      </c>
      <c r="L880" s="134" t="s">
        <v>734</v>
      </c>
    </row>
    <row r="881" spans="1:12">
      <c r="A881" s="89">
        <v>18343</v>
      </c>
      <c r="B881" s="50">
        <v>3234</v>
      </c>
      <c r="C881" s="89">
        <v>7798090160225</v>
      </c>
      <c r="D881" s="50" t="s">
        <v>1236</v>
      </c>
      <c r="E881" s="101">
        <v>4165.393</v>
      </c>
      <c r="F881" s="101">
        <v>3124.04475</v>
      </c>
      <c r="G881" s="133">
        <v>1041.34825</v>
      </c>
      <c r="H881" s="50" t="s">
        <v>17</v>
      </c>
      <c r="I881" s="50" t="s">
        <v>23</v>
      </c>
      <c r="J881" s="52">
        <v>46178</v>
      </c>
      <c r="K881" s="52">
        <v>46234</v>
      </c>
      <c r="L881" s="134" t="s">
        <v>734</v>
      </c>
    </row>
    <row r="882" spans="1:12">
      <c r="A882" s="89">
        <v>660583</v>
      </c>
      <c r="B882" s="50">
        <v>83248</v>
      </c>
      <c r="C882" s="89">
        <v>7790314072352</v>
      </c>
      <c r="D882" s="50" t="s">
        <v>1237</v>
      </c>
      <c r="E882" s="101">
        <v>13967.89</v>
      </c>
      <c r="F882" s="101">
        <v>10475.9175</v>
      </c>
      <c r="G882" s="133">
        <v>3491.9724999999999</v>
      </c>
      <c r="H882" s="50" t="s">
        <v>17</v>
      </c>
      <c r="I882" s="50" t="s">
        <v>23</v>
      </c>
      <c r="J882" s="52">
        <v>46178</v>
      </c>
      <c r="K882" s="52">
        <v>46234</v>
      </c>
      <c r="L882" s="134" t="s">
        <v>734</v>
      </c>
    </row>
    <row r="883" spans="1:12">
      <c r="A883" s="89">
        <v>662400</v>
      </c>
      <c r="B883" s="50">
        <v>179</v>
      </c>
      <c r="C883" s="89">
        <v>7798110811557</v>
      </c>
      <c r="D883" s="50" t="s">
        <v>1238</v>
      </c>
      <c r="E883" s="101">
        <v>8550.0010000000002</v>
      </c>
      <c r="F883" s="101">
        <v>6412.5007500000002</v>
      </c>
      <c r="G883" s="133">
        <v>2137.5002500000001</v>
      </c>
      <c r="H883" s="50" t="s">
        <v>17</v>
      </c>
      <c r="I883" s="50" t="s">
        <v>23</v>
      </c>
      <c r="J883" s="52">
        <v>46178</v>
      </c>
      <c r="K883" s="52">
        <v>46234</v>
      </c>
      <c r="L883" s="134" t="s">
        <v>734</v>
      </c>
    </row>
    <row r="884" spans="1:12">
      <c r="A884" s="89">
        <v>662399</v>
      </c>
      <c r="B884" s="50">
        <v>177</v>
      </c>
      <c r="C884" s="89">
        <v>7798110811540</v>
      </c>
      <c r="D884" s="50" t="s">
        <v>1239</v>
      </c>
      <c r="E884" s="101">
        <v>8550.0010000000002</v>
      </c>
      <c r="F884" s="101">
        <v>6412.5007500000002</v>
      </c>
      <c r="G884" s="133">
        <v>2137.5002500000001</v>
      </c>
      <c r="H884" s="50" t="s">
        <v>17</v>
      </c>
      <c r="I884" s="50" t="s">
        <v>23</v>
      </c>
      <c r="J884" s="52">
        <v>46178</v>
      </c>
      <c r="K884" s="52">
        <v>46234</v>
      </c>
      <c r="L884" s="134" t="s">
        <v>734</v>
      </c>
    </row>
    <row r="885" spans="1:12">
      <c r="A885" s="89">
        <v>662397</v>
      </c>
      <c r="B885" s="50">
        <v>173</v>
      </c>
      <c r="C885" s="89">
        <v>7798110811670</v>
      </c>
      <c r="D885" s="50" t="s">
        <v>1240</v>
      </c>
      <c r="E885" s="101">
        <v>5732.9970000000003</v>
      </c>
      <c r="F885" s="101">
        <v>4299.7477500000005</v>
      </c>
      <c r="G885" s="133">
        <v>1433.2492499999998</v>
      </c>
      <c r="H885" s="50" t="s">
        <v>17</v>
      </c>
      <c r="I885" s="50" t="s">
        <v>23</v>
      </c>
      <c r="J885" s="52">
        <v>46178</v>
      </c>
      <c r="K885" s="52">
        <v>46234</v>
      </c>
      <c r="L885" s="134" t="s">
        <v>734</v>
      </c>
    </row>
    <row r="886" spans="1:12">
      <c r="A886" s="89">
        <v>662396</v>
      </c>
      <c r="B886" s="50">
        <v>170</v>
      </c>
      <c r="C886" s="89">
        <v>7798110811632</v>
      </c>
      <c r="D886" s="50" t="s">
        <v>1241</v>
      </c>
      <c r="E886" s="101">
        <v>5732.9970000000003</v>
      </c>
      <c r="F886" s="101">
        <v>4299.7477500000005</v>
      </c>
      <c r="G886" s="133">
        <v>1433.2492499999998</v>
      </c>
      <c r="H886" s="50" t="s">
        <v>17</v>
      </c>
      <c r="I886" s="50" t="s">
        <v>23</v>
      </c>
      <c r="J886" s="52">
        <v>46178</v>
      </c>
      <c r="K886" s="52">
        <v>46234</v>
      </c>
      <c r="L886" s="134" t="s">
        <v>734</v>
      </c>
    </row>
    <row r="887" spans="1:12">
      <c r="A887" s="89">
        <v>662398</v>
      </c>
      <c r="B887" s="50">
        <v>176</v>
      </c>
      <c r="C887" s="89">
        <v>7798110811649</v>
      </c>
      <c r="D887" s="50" t="s">
        <v>1242</v>
      </c>
      <c r="E887" s="101">
        <v>5732.9970000000003</v>
      </c>
      <c r="F887" s="101">
        <v>4299.7477500000005</v>
      </c>
      <c r="G887" s="133">
        <v>1433.2492499999998</v>
      </c>
      <c r="H887" s="50" t="s">
        <v>17</v>
      </c>
      <c r="I887" s="50" t="s">
        <v>23</v>
      </c>
      <c r="J887" s="52">
        <v>46178</v>
      </c>
      <c r="K887" s="52">
        <v>46234</v>
      </c>
      <c r="L887" s="134" t="s">
        <v>734</v>
      </c>
    </row>
    <row r="888" spans="1:12">
      <c r="A888" s="89">
        <v>663825</v>
      </c>
      <c r="B888" s="50">
        <v>3605</v>
      </c>
      <c r="C888" s="89">
        <v>7798348710080</v>
      </c>
      <c r="D888" s="50" t="s">
        <v>1243</v>
      </c>
      <c r="E888" s="101">
        <v>9557.6479999999992</v>
      </c>
      <c r="F888" s="101">
        <v>7168.235999999999</v>
      </c>
      <c r="G888" s="133">
        <v>2389.4120000000003</v>
      </c>
      <c r="H888" s="50" t="s">
        <v>17</v>
      </c>
      <c r="I888" s="50" t="s">
        <v>23</v>
      </c>
      <c r="J888" s="52">
        <v>46178</v>
      </c>
      <c r="K888" s="52">
        <v>46234</v>
      </c>
      <c r="L888" s="134" t="s">
        <v>734</v>
      </c>
    </row>
    <row r="889" spans="1:12">
      <c r="A889" s="89">
        <v>664073</v>
      </c>
      <c r="B889" s="50">
        <v>3608</v>
      </c>
      <c r="C889" s="89">
        <v>7798348710059</v>
      </c>
      <c r="D889" s="50" t="s">
        <v>1244</v>
      </c>
      <c r="E889" s="101">
        <v>9557.6479999999992</v>
      </c>
      <c r="F889" s="101">
        <v>7168.235999999999</v>
      </c>
      <c r="G889" s="133">
        <v>2389.4120000000003</v>
      </c>
      <c r="H889" s="50" t="s">
        <v>17</v>
      </c>
      <c r="I889" s="50" t="s">
        <v>23</v>
      </c>
      <c r="J889" s="52">
        <v>46178</v>
      </c>
      <c r="K889" s="52">
        <v>46234</v>
      </c>
      <c r="L889" s="134" t="s">
        <v>734</v>
      </c>
    </row>
    <row r="890" spans="1:12">
      <c r="A890" s="89">
        <v>662738</v>
      </c>
      <c r="B890" s="50">
        <v>4232</v>
      </c>
      <c r="C890" s="89">
        <v>7798123974232</v>
      </c>
      <c r="D890" s="50" t="s">
        <v>1245</v>
      </c>
      <c r="E890" s="101">
        <v>7618.8829999999998</v>
      </c>
      <c r="F890" s="101">
        <v>5714.1622499999994</v>
      </c>
      <c r="G890" s="133">
        <v>1904.7207500000004</v>
      </c>
      <c r="H890" s="50" t="s">
        <v>17</v>
      </c>
      <c r="I890" s="50" t="s">
        <v>23</v>
      </c>
      <c r="J890" s="52">
        <v>46178</v>
      </c>
      <c r="K890" s="52">
        <v>46234</v>
      </c>
      <c r="L890" s="134" t="s">
        <v>734</v>
      </c>
    </row>
    <row r="891" spans="1:12">
      <c r="A891" s="89">
        <v>662739</v>
      </c>
      <c r="B891" s="50">
        <v>0</v>
      </c>
      <c r="C891" s="89">
        <v>7798123974263</v>
      </c>
      <c r="D891" s="50" t="s">
        <v>1246</v>
      </c>
      <c r="E891" s="101">
        <v>7618.9350000000004</v>
      </c>
      <c r="F891" s="101">
        <v>5714.2012500000001</v>
      </c>
      <c r="G891" s="133">
        <v>1904.7337500000003</v>
      </c>
      <c r="H891" s="50" t="s">
        <v>17</v>
      </c>
      <c r="I891" s="50" t="s">
        <v>23</v>
      </c>
      <c r="J891" s="52">
        <v>46178</v>
      </c>
      <c r="K891" s="52">
        <v>46234</v>
      </c>
      <c r="L891" s="134" t="s">
        <v>734</v>
      </c>
    </row>
    <row r="892" spans="1:12">
      <c r="A892" s="89">
        <v>100954</v>
      </c>
      <c r="B892" s="50">
        <v>5297</v>
      </c>
      <c r="C892" s="89">
        <v>7798116190366</v>
      </c>
      <c r="D892" s="50" t="s">
        <v>1247</v>
      </c>
      <c r="E892" s="101">
        <v>6615.4650000000001</v>
      </c>
      <c r="F892" s="101">
        <v>4961.5987500000001</v>
      </c>
      <c r="G892" s="133">
        <v>1653.86625</v>
      </c>
      <c r="H892" s="50" t="s">
        <v>17</v>
      </c>
      <c r="I892" s="50" t="s">
        <v>23</v>
      </c>
      <c r="J892" s="52">
        <v>46178</v>
      </c>
      <c r="K892" s="52">
        <v>46234</v>
      </c>
      <c r="L892" s="134" t="s">
        <v>734</v>
      </c>
    </row>
    <row r="893" spans="1:12">
      <c r="A893" s="89">
        <v>100955</v>
      </c>
      <c r="B893" s="50">
        <v>5300</v>
      </c>
      <c r="C893" s="89">
        <v>7798116190342</v>
      </c>
      <c r="D893" s="50" t="s">
        <v>1248</v>
      </c>
      <c r="E893" s="101">
        <v>6615.4650000000001</v>
      </c>
      <c r="F893" s="101">
        <v>4961.5987500000001</v>
      </c>
      <c r="G893" s="133">
        <v>1653.86625</v>
      </c>
      <c r="H893" s="50" t="s">
        <v>17</v>
      </c>
      <c r="I893" s="50" t="s">
        <v>23</v>
      </c>
      <c r="J893" s="52">
        <v>46178</v>
      </c>
      <c r="K893" s="52">
        <v>46234</v>
      </c>
      <c r="L893" s="134" t="s">
        <v>734</v>
      </c>
    </row>
    <row r="894" spans="1:12">
      <c r="A894" s="89">
        <v>100957</v>
      </c>
      <c r="B894" s="50">
        <v>5298</v>
      </c>
      <c r="C894" s="89">
        <v>7798116190328</v>
      </c>
      <c r="D894" s="50" t="s">
        <v>1249</v>
      </c>
      <c r="E894" s="101">
        <v>6615.4650000000001</v>
      </c>
      <c r="F894" s="101">
        <v>4961.5987500000001</v>
      </c>
      <c r="G894" s="133">
        <v>1653.86625</v>
      </c>
      <c r="H894" s="50" t="s">
        <v>17</v>
      </c>
      <c r="I894" s="50" t="s">
        <v>23</v>
      </c>
      <c r="J894" s="52">
        <v>46178</v>
      </c>
      <c r="K894" s="52">
        <v>46234</v>
      </c>
      <c r="L894" s="134" t="s">
        <v>734</v>
      </c>
    </row>
    <row r="895" spans="1:12">
      <c r="A895" s="89">
        <v>100958</v>
      </c>
      <c r="B895" s="50">
        <v>5302</v>
      </c>
      <c r="C895" s="89">
        <v>7798116191615</v>
      </c>
      <c r="D895" s="50" t="s">
        <v>1250</v>
      </c>
      <c r="E895" s="101">
        <v>6615.4650000000001</v>
      </c>
      <c r="F895" s="101">
        <v>4961.5987500000001</v>
      </c>
      <c r="G895" s="133">
        <v>1653.86625</v>
      </c>
      <c r="H895" s="50" t="s">
        <v>17</v>
      </c>
      <c r="I895" s="50" t="s">
        <v>23</v>
      </c>
      <c r="J895" s="52">
        <v>46178</v>
      </c>
      <c r="K895" s="52">
        <v>46234</v>
      </c>
      <c r="L895" s="134" t="s">
        <v>734</v>
      </c>
    </row>
    <row r="896" spans="1:12">
      <c r="A896" s="89">
        <v>663837</v>
      </c>
      <c r="B896" s="50">
        <v>5287</v>
      </c>
      <c r="C896" s="89">
        <v>7798116190069</v>
      </c>
      <c r="D896" s="50" t="s">
        <v>1251</v>
      </c>
      <c r="E896" s="101">
        <v>10315.777</v>
      </c>
      <c r="F896" s="101">
        <v>7736.8327499999996</v>
      </c>
      <c r="G896" s="133">
        <v>2578.9442500000005</v>
      </c>
      <c r="H896" s="50" t="s">
        <v>17</v>
      </c>
      <c r="I896" s="50" t="s">
        <v>23</v>
      </c>
      <c r="J896" s="52">
        <v>46178</v>
      </c>
      <c r="K896" s="52">
        <v>46234</v>
      </c>
      <c r="L896" s="134" t="s">
        <v>734</v>
      </c>
    </row>
    <row r="897" spans="1:12">
      <c r="A897" s="89">
        <v>663839</v>
      </c>
      <c r="B897" s="50">
        <v>5289</v>
      </c>
      <c r="C897" s="89">
        <v>7798116190045</v>
      </c>
      <c r="D897" s="50" t="s">
        <v>1252</v>
      </c>
      <c r="E897" s="101">
        <v>10315.777</v>
      </c>
      <c r="F897" s="101">
        <v>7736.8327499999996</v>
      </c>
      <c r="G897" s="133">
        <v>2578.9442500000005</v>
      </c>
      <c r="H897" s="50" t="s">
        <v>17</v>
      </c>
      <c r="I897" s="50" t="s">
        <v>23</v>
      </c>
      <c r="J897" s="52">
        <v>46178</v>
      </c>
      <c r="K897" s="52">
        <v>46234</v>
      </c>
      <c r="L897" s="134" t="s">
        <v>734</v>
      </c>
    </row>
    <row r="898" spans="1:12">
      <c r="A898" s="89">
        <v>663835</v>
      </c>
      <c r="B898" s="50">
        <v>5285</v>
      </c>
      <c r="C898" s="89">
        <v>7798116190014</v>
      </c>
      <c r="D898" s="50" t="s">
        <v>1253</v>
      </c>
      <c r="E898" s="101">
        <v>10315.777</v>
      </c>
      <c r="F898" s="101">
        <v>7736.8327499999996</v>
      </c>
      <c r="G898" s="133">
        <v>2578.9442500000005</v>
      </c>
      <c r="H898" s="50" t="s">
        <v>17</v>
      </c>
      <c r="I898" s="50" t="s">
        <v>23</v>
      </c>
      <c r="J898" s="52">
        <v>46178</v>
      </c>
      <c r="K898" s="52">
        <v>46234</v>
      </c>
      <c r="L898" s="134" t="s">
        <v>734</v>
      </c>
    </row>
    <row r="899" spans="1:12">
      <c r="A899" s="89">
        <v>663836</v>
      </c>
      <c r="B899" s="50">
        <v>5286</v>
      </c>
      <c r="C899" s="89">
        <v>7798116190021</v>
      </c>
      <c r="D899" s="50" t="s">
        <v>1254</v>
      </c>
      <c r="E899" s="101">
        <v>10315.777</v>
      </c>
      <c r="F899" s="101">
        <v>7736.8327499999996</v>
      </c>
      <c r="G899" s="133">
        <v>2578.9442500000005</v>
      </c>
      <c r="H899" s="50" t="s">
        <v>17</v>
      </c>
      <c r="I899" s="50" t="s">
        <v>23</v>
      </c>
      <c r="J899" s="52">
        <v>46178</v>
      </c>
      <c r="K899" s="52">
        <v>46234</v>
      </c>
      <c r="L899" s="134" t="s">
        <v>734</v>
      </c>
    </row>
    <row r="900" spans="1:12">
      <c r="A900" s="89">
        <v>663838</v>
      </c>
      <c r="B900" s="50">
        <v>5288</v>
      </c>
      <c r="C900" s="89">
        <v>7798116190038</v>
      </c>
      <c r="D900" s="50" t="s">
        <v>1255</v>
      </c>
      <c r="E900" s="101">
        <v>10315.777</v>
      </c>
      <c r="F900" s="101">
        <v>7736.8327499999996</v>
      </c>
      <c r="G900" s="133">
        <v>2578.9442500000005</v>
      </c>
      <c r="H900" s="50" t="s">
        <v>17</v>
      </c>
      <c r="I900" s="50" t="s">
        <v>23</v>
      </c>
      <c r="J900" s="52">
        <v>46178</v>
      </c>
      <c r="K900" s="52">
        <v>46234</v>
      </c>
      <c r="L900" s="134" t="s">
        <v>734</v>
      </c>
    </row>
    <row r="901" spans="1:12">
      <c r="A901" s="89">
        <v>660585</v>
      </c>
      <c r="B901" s="50">
        <v>46870</v>
      </c>
      <c r="C901" s="89">
        <v>7790314063978</v>
      </c>
      <c r="D901" s="50" t="s">
        <v>1256</v>
      </c>
      <c r="E901" s="101">
        <v>5861.96</v>
      </c>
      <c r="F901" s="101">
        <v>4396.47</v>
      </c>
      <c r="G901" s="133">
        <v>1465.4899999999998</v>
      </c>
      <c r="H901" s="50" t="s">
        <v>17</v>
      </c>
      <c r="I901" s="50" t="s">
        <v>23</v>
      </c>
      <c r="J901" s="52">
        <v>46178</v>
      </c>
      <c r="K901" s="52">
        <v>46234</v>
      </c>
      <c r="L901" s="134" t="s">
        <v>734</v>
      </c>
    </row>
    <row r="902" spans="1:12">
      <c r="A902" s="89">
        <v>660580</v>
      </c>
      <c r="B902" s="50">
        <v>45840</v>
      </c>
      <c r="C902" s="89">
        <v>7798295210022</v>
      </c>
      <c r="D902" s="50" t="s">
        <v>1257</v>
      </c>
      <c r="E902" s="101">
        <v>6200.8770000000004</v>
      </c>
      <c r="F902" s="101">
        <v>4650.6577500000003</v>
      </c>
      <c r="G902" s="133">
        <v>1550.2192500000001</v>
      </c>
      <c r="H902" s="50" t="s">
        <v>17</v>
      </c>
      <c r="I902" s="50" t="s">
        <v>23</v>
      </c>
      <c r="J902" s="52">
        <v>46178</v>
      </c>
      <c r="K902" s="52">
        <v>46234</v>
      </c>
      <c r="L902" s="134" t="s">
        <v>734</v>
      </c>
    </row>
    <row r="903" spans="1:12">
      <c r="A903" s="89">
        <v>664459</v>
      </c>
      <c r="B903" s="50">
        <v>1777</v>
      </c>
      <c r="C903" s="89">
        <v>742832932592</v>
      </c>
      <c r="D903" s="50" t="s">
        <v>1258</v>
      </c>
      <c r="E903" s="101">
        <v>6902.5360000000001</v>
      </c>
      <c r="F903" s="101">
        <v>5176.902</v>
      </c>
      <c r="G903" s="133">
        <v>1725.634</v>
      </c>
      <c r="H903" s="50" t="s">
        <v>17</v>
      </c>
      <c r="I903" s="50" t="s">
        <v>23</v>
      </c>
      <c r="J903" s="52">
        <v>46178</v>
      </c>
      <c r="K903" s="52">
        <v>46234</v>
      </c>
      <c r="L903" s="134" t="s">
        <v>734</v>
      </c>
    </row>
    <row r="904" spans="1:12">
      <c r="A904" s="89">
        <v>664457</v>
      </c>
      <c r="B904" s="50">
        <v>1776</v>
      </c>
      <c r="C904" s="89">
        <v>742832741682</v>
      </c>
      <c r="D904" s="50" t="s">
        <v>1259</v>
      </c>
      <c r="E904" s="101">
        <v>6902.5360000000001</v>
      </c>
      <c r="F904" s="101">
        <v>5176.902</v>
      </c>
      <c r="G904" s="133">
        <v>1725.634</v>
      </c>
      <c r="H904" s="50" t="s">
        <v>17</v>
      </c>
      <c r="I904" s="50" t="s">
        <v>23</v>
      </c>
      <c r="J904" s="52">
        <v>46178</v>
      </c>
      <c r="K904" s="52">
        <v>46234</v>
      </c>
      <c r="L904" s="134" t="s">
        <v>734</v>
      </c>
    </row>
    <row r="905" spans="1:12">
      <c r="A905" s="89">
        <v>664456</v>
      </c>
      <c r="B905" s="50">
        <v>1775</v>
      </c>
      <c r="C905" s="89">
        <v>742832490238</v>
      </c>
      <c r="D905" s="50" t="s">
        <v>1260</v>
      </c>
      <c r="E905" s="101">
        <v>6902.5360000000001</v>
      </c>
      <c r="F905" s="101">
        <v>5176.902</v>
      </c>
      <c r="G905" s="133">
        <v>1725.634</v>
      </c>
      <c r="H905" s="50" t="s">
        <v>17</v>
      </c>
      <c r="I905" s="50" t="s">
        <v>23</v>
      </c>
      <c r="J905" s="52">
        <v>46178</v>
      </c>
      <c r="K905" s="52">
        <v>46234</v>
      </c>
      <c r="L905" s="134" t="s">
        <v>734</v>
      </c>
    </row>
    <row r="906" spans="1:12">
      <c r="A906" s="89">
        <v>2222</v>
      </c>
      <c r="B906" s="50">
        <v>76280</v>
      </c>
      <c r="C906" s="89">
        <v>7790314000966</v>
      </c>
      <c r="D906" s="50" t="s">
        <v>1261</v>
      </c>
      <c r="E906" s="101">
        <v>2687.3330000000001</v>
      </c>
      <c r="F906" s="101">
        <v>2015.4997499999999</v>
      </c>
      <c r="G906" s="133">
        <v>671.83325000000013</v>
      </c>
      <c r="H906" s="50" t="s">
        <v>17</v>
      </c>
      <c r="I906" s="50" t="s">
        <v>23</v>
      </c>
      <c r="J906" s="52">
        <v>46178</v>
      </c>
      <c r="K906" s="52">
        <v>46234</v>
      </c>
      <c r="L906" s="134" t="s">
        <v>734</v>
      </c>
    </row>
    <row r="907" spans="1:12">
      <c r="A907" s="89">
        <v>663041</v>
      </c>
      <c r="B907" s="50">
        <v>1041030102</v>
      </c>
      <c r="C907" s="89">
        <v>7798115618182</v>
      </c>
      <c r="D907" s="50" t="s">
        <v>1262</v>
      </c>
      <c r="E907" s="101">
        <v>23000.46</v>
      </c>
      <c r="F907" s="101">
        <v>17250.345000000001</v>
      </c>
      <c r="G907" s="133">
        <v>5750.114999999998</v>
      </c>
      <c r="H907" s="50" t="s">
        <v>17</v>
      </c>
      <c r="I907" s="50" t="s">
        <v>23</v>
      </c>
      <c r="J907" s="52">
        <v>46178</v>
      </c>
      <c r="K907" s="52">
        <v>46234</v>
      </c>
      <c r="L907" s="134" t="s">
        <v>734</v>
      </c>
    </row>
    <row r="908" spans="1:12">
      <c r="A908" s="89">
        <v>663040</v>
      </c>
      <c r="B908" s="50">
        <v>1041030090</v>
      </c>
      <c r="C908" s="89">
        <v>7798115617291</v>
      </c>
      <c r="D908" s="50" t="s">
        <v>1263</v>
      </c>
      <c r="E908" s="101">
        <v>23000.46</v>
      </c>
      <c r="F908" s="101">
        <v>17250.345000000001</v>
      </c>
      <c r="G908" s="133">
        <v>5750.114999999998</v>
      </c>
      <c r="H908" s="50" t="s">
        <v>17</v>
      </c>
      <c r="I908" s="50" t="s">
        <v>23</v>
      </c>
      <c r="J908" s="52">
        <v>46178</v>
      </c>
      <c r="K908" s="52">
        <v>46234</v>
      </c>
      <c r="L908" s="134" t="s">
        <v>734</v>
      </c>
    </row>
    <row r="909" spans="1:12">
      <c r="A909" s="89">
        <v>663043</v>
      </c>
      <c r="B909" s="50">
        <v>1041030039</v>
      </c>
      <c r="C909" s="89">
        <v>7798115616522</v>
      </c>
      <c r="D909" s="50" t="s">
        <v>1264</v>
      </c>
      <c r="E909" s="101">
        <v>14000.28</v>
      </c>
      <c r="F909" s="101">
        <v>10500.210000000001</v>
      </c>
      <c r="G909" s="133">
        <v>3500.0699999999997</v>
      </c>
      <c r="H909" s="50" t="s">
        <v>17</v>
      </c>
      <c r="I909" s="50" t="s">
        <v>23</v>
      </c>
      <c r="J909" s="52">
        <v>46178</v>
      </c>
      <c r="K909" s="52">
        <v>46234</v>
      </c>
      <c r="L909" s="134" t="s">
        <v>734</v>
      </c>
    </row>
    <row r="910" spans="1:12">
      <c r="A910" s="89">
        <v>663044</v>
      </c>
      <c r="B910" s="50">
        <v>1041030001</v>
      </c>
      <c r="C910" s="89">
        <v>7798115616652</v>
      </c>
      <c r="D910" s="50" t="s">
        <v>1265</v>
      </c>
      <c r="E910" s="101">
        <v>14000.28</v>
      </c>
      <c r="F910" s="101">
        <v>10500.210000000001</v>
      </c>
      <c r="G910" s="133">
        <v>3500.0699999999997</v>
      </c>
      <c r="H910" s="50" t="s">
        <v>17</v>
      </c>
      <c r="I910" s="50" t="s">
        <v>23</v>
      </c>
      <c r="J910" s="52">
        <v>46178</v>
      </c>
      <c r="K910" s="52">
        <v>46234</v>
      </c>
      <c r="L910" s="134" t="s">
        <v>734</v>
      </c>
    </row>
    <row r="911" spans="1:12">
      <c r="A911" s="89">
        <v>663045</v>
      </c>
      <c r="B911" s="50">
        <v>1041030012</v>
      </c>
      <c r="C911" s="89">
        <v>7798115616416</v>
      </c>
      <c r="D911" s="50" t="s">
        <v>1266</v>
      </c>
      <c r="E911" s="101">
        <v>14000.28</v>
      </c>
      <c r="F911" s="101">
        <v>10500.210000000001</v>
      </c>
      <c r="G911" s="133">
        <v>3500.0699999999997</v>
      </c>
      <c r="H911" s="50" t="s">
        <v>17</v>
      </c>
      <c r="I911" s="50" t="s">
        <v>23</v>
      </c>
      <c r="J911" s="52">
        <v>46178</v>
      </c>
      <c r="K911" s="52">
        <v>46234</v>
      </c>
      <c r="L911" s="134" t="s">
        <v>734</v>
      </c>
    </row>
    <row r="912" spans="1:12">
      <c r="A912" s="89">
        <v>660476</v>
      </c>
      <c r="B912" s="50">
        <v>0</v>
      </c>
      <c r="C912" s="89">
        <v>7796138000014</v>
      </c>
      <c r="D912" s="50" t="s">
        <v>1267</v>
      </c>
      <c r="E912" s="101">
        <v>19374.939999999999</v>
      </c>
      <c r="F912" s="101">
        <v>14531.204999999998</v>
      </c>
      <c r="G912" s="105">
        <v>4843.7350000000006</v>
      </c>
      <c r="H912" s="50" t="s">
        <v>17</v>
      </c>
      <c r="I912" s="50" t="s">
        <v>23</v>
      </c>
      <c r="J912" s="52">
        <v>46178</v>
      </c>
      <c r="K912" s="52">
        <v>46234</v>
      </c>
      <c r="L912" s="134" t="s">
        <v>734</v>
      </c>
    </row>
    <row r="913" spans="1:12">
      <c r="A913" s="89">
        <v>666673</v>
      </c>
      <c r="B913" s="50">
        <v>0</v>
      </c>
      <c r="C913" s="89">
        <v>7792319972743</v>
      </c>
      <c r="D913" s="50" t="s">
        <v>1268</v>
      </c>
      <c r="E913" s="101">
        <v>5471.37</v>
      </c>
      <c r="F913" s="101">
        <v>3647.5800000000017</v>
      </c>
      <c r="G913" s="105">
        <v>1823.7899999999981</v>
      </c>
      <c r="H913" s="50" t="s">
        <v>654</v>
      </c>
      <c r="I913" s="50" t="s">
        <v>655</v>
      </c>
      <c r="J913" s="52">
        <v>46206</v>
      </c>
      <c r="K913" s="52">
        <v>46234</v>
      </c>
      <c r="L913" s="134" t="s">
        <v>734</v>
      </c>
    </row>
    <row r="914" spans="1:12">
      <c r="A914" s="89">
        <v>661093</v>
      </c>
      <c r="B914" s="50" t="s">
        <v>1269</v>
      </c>
      <c r="C914" s="89">
        <v>7792319971241</v>
      </c>
      <c r="D914" s="50" t="s">
        <v>1270</v>
      </c>
      <c r="E914" s="101">
        <v>5471.37</v>
      </c>
      <c r="F914" s="101">
        <v>3647.5800000000017</v>
      </c>
      <c r="G914" s="105">
        <v>1823.7899999999981</v>
      </c>
      <c r="H914" s="50" t="s">
        <v>654</v>
      </c>
      <c r="I914" s="50" t="s">
        <v>655</v>
      </c>
      <c r="J914" s="52">
        <v>46206</v>
      </c>
      <c r="K914" s="52">
        <v>46234</v>
      </c>
      <c r="L914" s="134" t="s">
        <v>734</v>
      </c>
    </row>
    <row r="915" spans="1:12">
      <c r="A915" s="89">
        <v>666536</v>
      </c>
      <c r="B915" s="50">
        <v>14334</v>
      </c>
      <c r="C915" s="89">
        <v>7798051303340</v>
      </c>
      <c r="D915" s="50" t="s">
        <v>1271</v>
      </c>
      <c r="E915" s="101">
        <v>7254.0320000000002</v>
      </c>
      <c r="F915" s="101">
        <v>3627.0160000000001</v>
      </c>
      <c r="G915" s="133">
        <v>3627.0160000000001</v>
      </c>
      <c r="H915" s="50" t="s">
        <v>14</v>
      </c>
      <c r="I915" s="50" t="s">
        <v>638</v>
      </c>
      <c r="J915" s="52">
        <v>46178</v>
      </c>
      <c r="K915" s="52">
        <v>46234</v>
      </c>
      <c r="L915" s="134" t="s">
        <v>734</v>
      </c>
    </row>
    <row r="916" spans="1:12">
      <c r="A916" s="89">
        <v>666537</v>
      </c>
      <c r="B916" s="50">
        <v>14335</v>
      </c>
      <c r="C916" s="89">
        <v>7798051303357</v>
      </c>
      <c r="D916" s="50" t="s">
        <v>1272</v>
      </c>
      <c r="E916" s="101">
        <v>7254.0320000000002</v>
      </c>
      <c r="F916" s="101">
        <v>3627.0160000000001</v>
      </c>
      <c r="G916" s="133">
        <v>3627.0160000000001</v>
      </c>
      <c r="H916" s="50" t="s">
        <v>14</v>
      </c>
      <c r="I916" s="50" t="s">
        <v>638</v>
      </c>
      <c r="J916" s="52">
        <v>46178</v>
      </c>
      <c r="K916" s="52">
        <v>46234</v>
      </c>
      <c r="L916" s="134" t="s">
        <v>734</v>
      </c>
    </row>
    <row r="917" spans="1:12">
      <c r="A917" s="89">
        <v>666535</v>
      </c>
      <c r="B917" s="50">
        <v>14333</v>
      </c>
      <c r="C917" s="89">
        <v>7798051303333</v>
      </c>
      <c r="D917" s="50" t="s">
        <v>1273</v>
      </c>
      <c r="E917" s="101">
        <v>7254.0320000000002</v>
      </c>
      <c r="F917" s="101">
        <v>3627.0160000000001</v>
      </c>
      <c r="G917" s="133">
        <v>3627.0160000000001</v>
      </c>
      <c r="H917" s="50" t="s">
        <v>14</v>
      </c>
      <c r="I917" s="50" t="s">
        <v>638</v>
      </c>
      <c r="J917" s="52">
        <v>46178</v>
      </c>
      <c r="K917" s="52">
        <v>46234</v>
      </c>
      <c r="L917" s="134" t="s">
        <v>734</v>
      </c>
    </row>
    <row r="918" spans="1:12">
      <c r="A918" s="89">
        <v>666534</v>
      </c>
      <c r="B918" s="50">
        <v>14332</v>
      </c>
      <c r="C918" s="89">
        <v>7798051303326</v>
      </c>
      <c r="D918" s="50" t="s">
        <v>1274</v>
      </c>
      <c r="E918" s="101">
        <v>7254.0320000000002</v>
      </c>
      <c r="F918" s="101">
        <v>3627.0160000000001</v>
      </c>
      <c r="G918" s="133">
        <v>3627.0160000000001</v>
      </c>
      <c r="H918" s="50" t="s">
        <v>14</v>
      </c>
      <c r="I918" s="50" t="s">
        <v>638</v>
      </c>
      <c r="J918" s="52">
        <v>46178</v>
      </c>
      <c r="K918" s="52">
        <v>46234</v>
      </c>
      <c r="L918" s="134" t="s">
        <v>734</v>
      </c>
    </row>
    <row r="919" spans="1:12">
      <c r="A919" s="89">
        <v>663949</v>
      </c>
      <c r="B919" s="50">
        <v>1296</v>
      </c>
      <c r="C919" s="89">
        <v>7790470085142</v>
      </c>
      <c r="D919" s="50" t="s">
        <v>1275</v>
      </c>
      <c r="E919" s="101">
        <v>68348.308000000005</v>
      </c>
      <c r="F919" s="101">
        <v>34174.154000000002</v>
      </c>
      <c r="G919" s="133">
        <v>34174.154000000002</v>
      </c>
      <c r="H919" s="50" t="s">
        <v>14</v>
      </c>
      <c r="I919" s="50" t="s">
        <v>638</v>
      </c>
      <c r="J919" s="52">
        <v>46178</v>
      </c>
      <c r="K919" s="52">
        <v>46234</v>
      </c>
      <c r="L919" s="134" t="s">
        <v>734</v>
      </c>
    </row>
    <row r="920" spans="1:12">
      <c r="A920" s="89">
        <v>666649</v>
      </c>
      <c r="B920" s="50" t="s">
        <v>1276</v>
      </c>
      <c r="C920" s="89">
        <v>7798078230322</v>
      </c>
      <c r="D920" s="50" t="s">
        <v>1277</v>
      </c>
      <c r="E920" s="101">
        <v>6210.0630000000001</v>
      </c>
      <c r="F920" s="101">
        <v>3105.0315000000001</v>
      </c>
      <c r="G920" s="133">
        <v>3105.0315000000001</v>
      </c>
      <c r="H920" s="50" t="s">
        <v>14</v>
      </c>
      <c r="I920" s="50" t="s">
        <v>638</v>
      </c>
      <c r="J920" s="52">
        <v>46178</v>
      </c>
      <c r="K920" s="52">
        <v>46234</v>
      </c>
      <c r="L920" s="134" t="s">
        <v>734</v>
      </c>
    </row>
    <row r="921" spans="1:12">
      <c r="A921" s="89">
        <v>666650</v>
      </c>
      <c r="B921" s="50">
        <v>0</v>
      </c>
      <c r="C921" s="89">
        <v>7798078231657</v>
      </c>
      <c r="D921" s="50" t="s">
        <v>1278</v>
      </c>
      <c r="E921" s="101">
        <v>6210.0630000000001</v>
      </c>
      <c r="F921" s="101">
        <v>3105.0315000000001</v>
      </c>
      <c r="G921" s="133">
        <v>3105.0315000000001</v>
      </c>
      <c r="H921" s="50" t="s">
        <v>14</v>
      </c>
      <c r="I921" s="50" t="s">
        <v>638</v>
      </c>
      <c r="J921" s="52">
        <v>46178</v>
      </c>
      <c r="K921" s="52">
        <v>46234</v>
      </c>
      <c r="L921" s="134" t="s">
        <v>734</v>
      </c>
    </row>
    <row r="922" spans="1:12">
      <c r="A922" s="89">
        <v>666651</v>
      </c>
      <c r="B922" s="50" t="s">
        <v>1279</v>
      </c>
      <c r="C922" s="89">
        <v>7798078230315</v>
      </c>
      <c r="D922" s="50" t="s">
        <v>1280</v>
      </c>
      <c r="E922" s="101">
        <v>6210.0630000000001</v>
      </c>
      <c r="F922" s="101">
        <v>3105.0315000000001</v>
      </c>
      <c r="G922" s="133">
        <v>3105.0315000000001</v>
      </c>
      <c r="H922" s="50" t="s">
        <v>14</v>
      </c>
      <c r="I922" s="50" t="s">
        <v>638</v>
      </c>
      <c r="J922" s="52">
        <v>46178</v>
      </c>
      <c r="K922" s="52">
        <v>46234</v>
      </c>
      <c r="L922" s="134" t="s">
        <v>734</v>
      </c>
    </row>
    <row r="923" spans="1:12">
      <c r="A923" s="89">
        <v>17828</v>
      </c>
      <c r="B923" s="50">
        <v>11570</v>
      </c>
      <c r="C923" s="89">
        <v>7798051304743</v>
      </c>
      <c r="D923" s="50" t="s">
        <v>1281</v>
      </c>
      <c r="E923" s="101">
        <v>7967.43</v>
      </c>
      <c r="F923" s="101">
        <v>3983.7150000000001</v>
      </c>
      <c r="G923" s="133">
        <v>3983.7150000000001</v>
      </c>
      <c r="H923" s="50" t="s">
        <v>14</v>
      </c>
      <c r="I923" s="50" t="s">
        <v>638</v>
      </c>
      <c r="J923" s="52">
        <v>46178</v>
      </c>
      <c r="K923" s="52">
        <v>46234</v>
      </c>
      <c r="L923" s="134" t="s">
        <v>734</v>
      </c>
    </row>
    <row r="924" spans="1:12">
      <c r="A924" s="89">
        <v>431</v>
      </c>
      <c r="B924" s="50">
        <v>11572</v>
      </c>
      <c r="C924" s="89">
        <v>7798051304828</v>
      </c>
      <c r="D924" s="50" t="s">
        <v>1282</v>
      </c>
      <c r="E924" s="101">
        <v>9053.9050000000007</v>
      </c>
      <c r="F924" s="101">
        <v>4526.9525000000003</v>
      </c>
      <c r="G924" s="133">
        <v>4526.9525000000003</v>
      </c>
      <c r="H924" s="50" t="s">
        <v>14</v>
      </c>
      <c r="I924" s="50" t="s">
        <v>638</v>
      </c>
      <c r="J924" s="52">
        <v>46178</v>
      </c>
      <c r="K924" s="52">
        <v>46234</v>
      </c>
      <c r="L924" s="134" t="s">
        <v>734</v>
      </c>
    </row>
    <row r="925" spans="1:12">
      <c r="A925" s="89">
        <v>1015</v>
      </c>
      <c r="B925" s="50">
        <v>666</v>
      </c>
      <c r="C925" s="89">
        <v>7790470083223</v>
      </c>
      <c r="D925" s="50" t="s">
        <v>1283</v>
      </c>
      <c r="E925" s="101">
        <v>5000</v>
      </c>
      <c r="F925" s="101">
        <v>2500</v>
      </c>
      <c r="G925" s="133">
        <v>2500</v>
      </c>
      <c r="H925" s="50" t="s">
        <v>14</v>
      </c>
      <c r="I925" s="50" t="s">
        <v>638</v>
      </c>
      <c r="J925" s="52">
        <v>46178</v>
      </c>
      <c r="K925" s="52">
        <v>46234</v>
      </c>
      <c r="L925" s="134" t="s">
        <v>734</v>
      </c>
    </row>
    <row r="926" spans="1:12">
      <c r="A926" s="89">
        <v>2436</v>
      </c>
      <c r="B926" s="50">
        <v>667</v>
      </c>
      <c r="C926" s="89">
        <v>7790470083100</v>
      </c>
      <c r="D926" s="50" t="s">
        <v>1284</v>
      </c>
      <c r="E926" s="101">
        <v>5000</v>
      </c>
      <c r="F926" s="101">
        <v>2500</v>
      </c>
      <c r="G926" s="133">
        <v>2500</v>
      </c>
      <c r="H926" s="50" t="s">
        <v>14</v>
      </c>
      <c r="I926" s="50" t="s">
        <v>638</v>
      </c>
      <c r="J926" s="52">
        <v>46178</v>
      </c>
      <c r="K926" s="52">
        <v>46234</v>
      </c>
      <c r="L926" s="134" t="s">
        <v>734</v>
      </c>
    </row>
    <row r="927" spans="1:12">
      <c r="A927" s="89">
        <v>657486</v>
      </c>
      <c r="B927" s="50">
        <v>665</v>
      </c>
      <c r="C927" s="89">
        <v>7790470083247</v>
      </c>
      <c r="D927" s="50" t="s">
        <v>1285</v>
      </c>
      <c r="E927" s="101">
        <v>5000</v>
      </c>
      <c r="F927" s="101">
        <v>2500</v>
      </c>
      <c r="G927" s="133">
        <v>2500</v>
      </c>
      <c r="H927" s="50" t="s">
        <v>14</v>
      </c>
      <c r="I927" s="50" t="s">
        <v>638</v>
      </c>
      <c r="J927" s="52">
        <v>46178</v>
      </c>
      <c r="K927" s="52">
        <v>46234</v>
      </c>
      <c r="L927" s="134" t="s">
        <v>734</v>
      </c>
    </row>
    <row r="928" spans="1:12">
      <c r="A928" s="89">
        <v>12023</v>
      </c>
      <c r="B928" s="50">
        <v>11561</v>
      </c>
      <c r="C928" s="89">
        <v>7798051300318</v>
      </c>
      <c r="D928" s="50" t="s">
        <v>1286</v>
      </c>
      <c r="E928" s="101">
        <v>6114.2049999999999</v>
      </c>
      <c r="F928" s="101">
        <v>3057.1025</v>
      </c>
      <c r="G928" s="133">
        <v>3057.1025</v>
      </c>
      <c r="H928" s="50" t="s">
        <v>14</v>
      </c>
      <c r="I928" s="50" t="s">
        <v>638</v>
      </c>
      <c r="J928" s="52">
        <v>46178</v>
      </c>
      <c r="K928" s="52">
        <v>46234</v>
      </c>
      <c r="L928" s="134" t="s">
        <v>734</v>
      </c>
    </row>
    <row r="929" spans="1:12">
      <c r="A929" s="89">
        <v>13644</v>
      </c>
      <c r="B929" s="50">
        <v>13839</v>
      </c>
      <c r="C929" s="89">
        <v>7798051308390</v>
      </c>
      <c r="D929" s="50" t="s">
        <v>1287</v>
      </c>
      <c r="E929" s="101">
        <v>6947.9610000000002</v>
      </c>
      <c r="F929" s="101">
        <v>3473.9805000000001</v>
      </c>
      <c r="G929" s="133">
        <v>3473.9805000000001</v>
      </c>
      <c r="H929" s="50" t="s">
        <v>14</v>
      </c>
      <c r="I929" s="50" t="s">
        <v>638</v>
      </c>
      <c r="J929" s="52">
        <v>46178</v>
      </c>
      <c r="K929" s="52">
        <v>46234</v>
      </c>
      <c r="L929" s="134" t="s">
        <v>734</v>
      </c>
    </row>
    <row r="930" spans="1:12">
      <c r="A930" s="89">
        <v>12022</v>
      </c>
      <c r="B930" s="50">
        <v>11560</v>
      </c>
      <c r="C930" s="89">
        <v>7798051300325</v>
      </c>
      <c r="D930" s="50" t="s">
        <v>1288</v>
      </c>
      <c r="E930" s="101">
        <v>6114.2049999999999</v>
      </c>
      <c r="F930" s="101">
        <v>3057.1025</v>
      </c>
      <c r="G930" s="133">
        <v>3057.1025</v>
      </c>
      <c r="H930" s="50" t="s">
        <v>14</v>
      </c>
      <c r="I930" s="50" t="s">
        <v>638</v>
      </c>
      <c r="J930" s="52">
        <v>46178</v>
      </c>
      <c r="K930" s="52">
        <v>46234</v>
      </c>
      <c r="L930" s="134" t="s">
        <v>734</v>
      </c>
    </row>
    <row r="931" spans="1:12">
      <c r="A931" s="89">
        <v>660852</v>
      </c>
      <c r="B931" s="50">
        <v>78086</v>
      </c>
      <c r="C931" s="89">
        <v>7790314073335</v>
      </c>
      <c r="D931" s="50" t="s">
        <v>1289</v>
      </c>
      <c r="E931" s="101">
        <v>3075.7289999999998</v>
      </c>
      <c r="F931" s="101">
        <v>1537.8644999999999</v>
      </c>
      <c r="G931" s="133">
        <v>1537.8644999999999</v>
      </c>
      <c r="H931" s="50" t="s">
        <v>14</v>
      </c>
      <c r="I931" s="50" t="s">
        <v>638</v>
      </c>
      <c r="J931" s="52">
        <v>46178</v>
      </c>
      <c r="K931" s="52">
        <v>46234</v>
      </c>
      <c r="L931" s="134" t="s">
        <v>734</v>
      </c>
    </row>
    <row r="932" spans="1:12">
      <c r="A932" s="89">
        <v>660850</v>
      </c>
      <c r="B932" s="50">
        <v>78091</v>
      </c>
      <c r="C932" s="89">
        <v>7790314073328</v>
      </c>
      <c r="D932" s="50" t="s">
        <v>1290</v>
      </c>
      <c r="E932" s="101">
        <v>3075.7289999999998</v>
      </c>
      <c r="F932" s="101">
        <v>1537.8644999999999</v>
      </c>
      <c r="G932" s="133">
        <v>1537.8644999999999</v>
      </c>
      <c r="H932" s="50" t="s">
        <v>14</v>
      </c>
      <c r="I932" s="50" t="s">
        <v>638</v>
      </c>
      <c r="J932" s="52">
        <v>46178</v>
      </c>
      <c r="K932" s="52">
        <v>46234</v>
      </c>
      <c r="L932" s="134" t="s">
        <v>734</v>
      </c>
    </row>
    <row r="933" spans="1:12">
      <c r="A933" s="89">
        <v>660851</v>
      </c>
      <c r="B933" s="50">
        <v>78105</v>
      </c>
      <c r="C933" s="89">
        <v>7790314073359</v>
      </c>
      <c r="D933" s="50" t="s">
        <v>1291</v>
      </c>
      <c r="E933" s="101">
        <v>3075.7289999999998</v>
      </c>
      <c r="F933" s="101">
        <v>1537.8644999999999</v>
      </c>
      <c r="G933" s="133">
        <v>1537.8644999999999</v>
      </c>
      <c r="H933" s="50" t="s">
        <v>14</v>
      </c>
      <c r="I933" s="50" t="s">
        <v>638</v>
      </c>
      <c r="J933" s="52">
        <v>46178</v>
      </c>
      <c r="K933" s="52">
        <v>46234</v>
      </c>
      <c r="L933" s="134" t="s">
        <v>734</v>
      </c>
    </row>
    <row r="934" spans="1:12">
      <c r="A934" s="136">
        <v>666571</v>
      </c>
      <c r="B934" s="89">
        <v>121330644121</v>
      </c>
      <c r="C934" s="89">
        <v>7791203889389</v>
      </c>
      <c r="D934" s="50" t="s">
        <v>1292</v>
      </c>
      <c r="E934" s="101">
        <v>66150.009999999995</v>
      </c>
      <c r="F934" s="101">
        <v>59535.008999999998</v>
      </c>
      <c r="G934" s="105">
        <v>-6615.0009999999966</v>
      </c>
      <c r="H934" s="50" t="s">
        <v>17</v>
      </c>
      <c r="I934" s="50" t="s">
        <v>22</v>
      </c>
      <c r="J934" s="52">
        <v>46206</v>
      </c>
      <c r="K934" s="52">
        <v>46234</v>
      </c>
      <c r="L934" s="137" t="s">
        <v>734</v>
      </c>
    </row>
    <row r="935" spans="1:12">
      <c r="A935" s="136">
        <v>666570</v>
      </c>
      <c r="B935" s="89">
        <v>121530644121</v>
      </c>
      <c r="C935" s="89">
        <v>7791203889402</v>
      </c>
      <c r="D935" s="50" t="s">
        <v>1293</v>
      </c>
      <c r="E935" s="101">
        <v>133987.5</v>
      </c>
      <c r="F935" s="101">
        <v>120588.75</v>
      </c>
      <c r="G935" s="105">
        <v>-13398.75</v>
      </c>
      <c r="H935" s="50" t="s">
        <v>17</v>
      </c>
      <c r="I935" s="50" t="s">
        <v>22</v>
      </c>
      <c r="J935" s="52">
        <v>46206</v>
      </c>
      <c r="K935" s="52">
        <v>46234</v>
      </c>
      <c r="L935" s="137" t="s">
        <v>734</v>
      </c>
    </row>
    <row r="936" spans="1:12">
      <c r="A936" s="136">
        <v>660732</v>
      </c>
      <c r="B936" s="89">
        <v>1417103540021</v>
      </c>
      <c r="C936" s="89">
        <v>7791203000630</v>
      </c>
      <c r="D936" s="50" t="s">
        <v>1294</v>
      </c>
      <c r="E936" s="101">
        <v>35100.01</v>
      </c>
      <c r="F936" s="101">
        <v>31590.009000000002</v>
      </c>
      <c r="G936" s="105">
        <v>-3510.0010000000002</v>
      </c>
      <c r="H936" s="50" t="s">
        <v>17</v>
      </c>
      <c r="I936" s="50" t="s">
        <v>22</v>
      </c>
      <c r="J936" s="52">
        <v>46206</v>
      </c>
      <c r="K936" s="52">
        <v>46234</v>
      </c>
      <c r="L936" s="137" t="s">
        <v>734</v>
      </c>
    </row>
    <row r="937" spans="1:12">
      <c r="A937" s="136">
        <v>8323</v>
      </c>
      <c r="B937" s="89">
        <v>1415102540021</v>
      </c>
      <c r="C937" s="89">
        <v>7791203000043</v>
      </c>
      <c r="D937" s="50" t="s">
        <v>1295</v>
      </c>
      <c r="E937" s="101">
        <v>17685</v>
      </c>
      <c r="F937" s="101">
        <v>15916.5</v>
      </c>
      <c r="G937" s="105">
        <v>-1768.5</v>
      </c>
      <c r="H937" s="50" t="s">
        <v>17</v>
      </c>
      <c r="I937" s="50" t="s">
        <v>22</v>
      </c>
      <c r="J937" s="52">
        <v>46206</v>
      </c>
      <c r="K937" s="52">
        <v>46234</v>
      </c>
      <c r="L937" s="137" t="s">
        <v>734</v>
      </c>
    </row>
    <row r="938" spans="1:12">
      <c r="A938" s="136">
        <v>666572</v>
      </c>
      <c r="B938" s="89">
        <v>1315306541</v>
      </c>
      <c r="C938" s="89">
        <v>7791203002412</v>
      </c>
      <c r="D938" s="50" t="s">
        <v>1296</v>
      </c>
      <c r="E938" s="101">
        <v>42660</v>
      </c>
      <c r="F938" s="101">
        <v>38394</v>
      </c>
      <c r="G938" s="105">
        <v>-4266</v>
      </c>
      <c r="H938" s="50" t="s">
        <v>17</v>
      </c>
      <c r="I938" s="50" t="s">
        <v>22</v>
      </c>
      <c r="J938" s="52">
        <v>46206</v>
      </c>
      <c r="K938" s="52">
        <v>46234</v>
      </c>
      <c r="L938" s="137" t="s">
        <v>734</v>
      </c>
    </row>
    <row r="939" spans="1:12">
      <c r="A939" s="136">
        <v>5188</v>
      </c>
      <c r="B939" s="89">
        <v>18113025401</v>
      </c>
      <c r="C939" s="89">
        <v>7791203000852</v>
      </c>
      <c r="D939" s="50" t="s">
        <v>1297</v>
      </c>
      <c r="E939" s="101">
        <v>10423.879999999999</v>
      </c>
      <c r="F939" s="101">
        <v>9381.4920000000002</v>
      </c>
      <c r="G939" s="105">
        <v>-1042.387999999999</v>
      </c>
      <c r="H939" s="50" t="s">
        <v>17</v>
      </c>
      <c r="I939" s="50" t="s">
        <v>22</v>
      </c>
      <c r="J939" s="52">
        <v>46206</v>
      </c>
      <c r="K939" s="52">
        <v>46234</v>
      </c>
      <c r="L939" s="137" t="s">
        <v>734</v>
      </c>
    </row>
    <row r="940" spans="1:12">
      <c r="A940" s="136">
        <v>11072</v>
      </c>
      <c r="B940" s="89">
        <v>1811101540121</v>
      </c>
      <c r="C940" s="89">
        <v>7791203000524</v>
      </c>
      <c r="D940" s="50" t="s">
        <v>1298</v>
      </c>
      <c r="E940" s="101">
        <v>10423.879999999999</v>
      </c>
      <c r="F940" s="101">
        <v>9381.4920000000002</v>
      </c>
      <c r="G940" s="105">
        <v>-1042.387999999999</v>
      </c>
      <c r="H940" s="50" t="s">
        <v>17</v>
      </c>
      <c r="I940" s="50" t="s">
        <v>22</v>
      </c>
      <c r="J940" s="52">
        <v>46206</v>
      </c>
      <c r="K940" s="52">
        <v>46234</v>
      </c>
      <c r="L940" s="137" t="s">
        <v>734</v>
      </c>
    </row>
    <row r="941" spans="1:12">
      <c r="A941" s="136">
        <v>665385</v>
      </c>
      <c r="B941" s="89">
        <v>181135254</v>
      </c>
      <c r="C941" s="89">
        <v>7791203003358</v>
      </c>
      <c r="D941" s="50" t="s">
        <v>1299</v>
      </c>
      <c r="E941" s="101">
        <v>10423.879999999999</v>
      </c>
      <c r="F941" s="101">
        <v>9381.4920000000002</v>
      </c>
      <c r="G941" s="105">
        <v>-1042.387999999999</v>
      </c>
      <c r="H941" s="50" t="s">
        <v>17</v>
      </c>
      <c r="I941" s="50" t="s">
        <v>22</v>
      </c>
      <c r="J941" s="52">
        <v>46206</v>
      </c>
      <c r="K941" s="52">
        <v>46234</v>
      </c>
      <c r="L941" s="137" t="s">
        <v>734</v>
      </c>
    </row>
    <row r="942" spans="1:12">
      <c r="A942" s="136">
        <v>9486</v>
      </c>
      <c r="B942" s="89">
        <v>142645154</v>
      </c>
      <c r="C942" s="89">
        <v>7791203001453</v>
      </c>
      <c r="D942" s="50" t="s">
        <v>1300</v>
      </c>
      <c r="E942" s="101">
        <v>26230.5</v>
      </c>
      <c r="F942" s="101">
        <v>23607.45</v>
      </c>
      <c r="G942" s="105">
        <v>-2623.0499999999993</v>
      </c>
      <c r="H942" s="50" t="s">
        <v>17</v>
      </c>
      <c r="I942" s="50" t="s">
        <v>69</v>
      </c>
      <c r="J942" s="52">
        <v>46206</v>
      </c>
      <c r="K942" s="52">
        <v>46234</v>
      </c>
      <c r="L942" s="137" t="s">
        <v>734</v>
      </c>
    </row>
    <row r="943" spans="1:12">
      <c r="A943" s="136">
        <v>660044</v>
      </c>
      <c r="B943" s="89">
        <v>122145144</v>
      </c>
      <c r="C943" s="89">
        <v>7791203000838</v>
      </c>
      <c r="D943" s="50" t="s">
        <v>1301</v>
      </c>
      <c r="E943" s="101">
        <v>46327.51</v>
      </c>
      <c r="F943" s="101">
        <v>41694.759000000005</v>
      </c>
      <c r="G943" s="105">
        <v>-4632.7509999999966</v>
      </c>
      <c r="H943" s="50" t="s">
        <v>17</v>
      </c>
      <c r="I943" s="50" t="s">
        <v>69</v>
      </c>
      <c r="J943" s="52">
        <v>46206</v>
      </c>
      <c r="K943" s="52">
        <v>46234</v>
      </c>
      <c r="L943" s="137" t="s">
        <v>734</v>
      </c>
    </row>
    <row r="944" spans="1:12">
      <c r="A944" s="89">
        <v>8110</v>
      </c>
      <c r="B944" s="50" t="s">
        <v>1302</v>
      </c>
      <c r="C944" s="89">
        <v>7792319003201</v>
      </c>
      <c r="D944" s="50" t="s">
        <v>1303</v>
      </c>
      <c r="E944" s="101">
        <v>4499.99</v>
      </c>
      <c r="F944" s="101">
        <v>2999.9933333333347</v>
      </c>
      <c r="G944" s="105">
        <v>1499.9966666666651</v>
      </c>
      <c r="H944" s="50" t="s">
        <v>654</v>
      </c>
      <c r="I944" s="50" t="s">
        <v>655</v>
      </c>
      <c r="J944" s="52">
        <v>46206</v>
      </c>
      <c r="K944" s="92">
        <v>46234</v>
      </c>
      <c r="L944" s="134" t="s">
        <v>734</v>
      </c>
    </row>
    <row r="945" spans="1:12">
      <c r="A945" s="89">
        <v>8134</v>
      </c>
      <c r="B945" s="50" t="s">
        <v>1304</v>
      </c>
      <c r="C945" s="89">
        <v>7792319003188</v>
      </c>
      <c r="D945" s="50" t="s">
        <v>1305</v>
      </c>
      <c r="E945" s="101">
        <v>4499.99</v>
      </c>
      <c r="F945" s="101">
        <v>2999.9933333333347</v>
      </c>
      <c r="G945" s="105">
        <v>1499.9966666666651</v>
      </c>
      <c r="H945" s="50" t="s">
        <v>654</v>
      </c>
      <c r="I945" s="50" t="s">
        <v>655</v>
      </c>
      <c r="J945" s="52">
        <v>46206</v>
      </c>
      <c r="K945" s="92">
        <v>46234</v>
      </c>
      <c r="L945" s="134" t="s">
        <v>734</v>
      </c>
    </row>
    <row r="946" spans="1:12">
      <c r="A946" s="89">
        <v>8119</v>
      </c>
      <c r="B946" s="50" t="s">
        <v>1306</v>
      </c>
      <c r="C946" s="89">
        <v>7792319003195</v>
      </c>
      <c r="D946" s="50" t="s">
        <v>1307</v>
      </c>
      <c r="E946" s="101">
        <v>4499.99</v>
      </c>
      <c r="F946" s="101">
        <v>2999.9933333333347</v>
      </c>
      <c r="G946" s="105">
        <v>1499.9966666666651</v>
      </c>
      <c r="H946" s="50" t="s">
        <v>654</v>
      </c>
      <c r="I946" s="50" t="s">
        <v>655</v>
      </c>
      <c r="J946" s="52">
        <v>46206</v>
      </c>
      <c r="K946" s="92">
        <v>46234</v>
      </c>
      <c r="L946" s="134" t="s">
        <v>734</v>
      </c>
    </row>
    <row r="947" spans="1:12">
      <c r="A947" s="89">
        <v>665367</v>
      </c>
      <c r="B947" s="50" t="s">
        <v>1308</v>
      </c>
      <c r="C947" s="89">
        <v>7792319971746</v>
      </c>
      <c r="D947" s="50" t="s">
        <v>1309</v>
      </c>
      <c r="E947" s="101">
        <v>3975</v>
      </c>
      <c r="F947" s="101">
        <v>2650.0000000000014</v>
      </c>
      <c r="G947" s="105">
        <v>1324.9999999999986</v>
      </c>
      <c r="H947" s="50" t="s">
        <v>654</v>
      </c>
      <c r="I947" s="50" t="s">
        <v>655</v>
      </c>
      <c r="J947" s="52">
        <v>46206</v>
      </c>
      <c r="K947" s="92">
        <v>46234</v>
      </c>
      <c r="L947" s="134" t="s">
        <v>734</v>
      </c>
    </row>
    <row r="948" spans="1:12">
      <c r="A948" s="89">
        <v>665368</v>
      </c>
      <c r="B948" s="50" t="s">
        <v>1310</v>
      </c>
      <c r="C948" s="89">
        <v>7792319971777</v>
      </c>
      <c r="D948" s="50" t="s">
        <v>1311</v>
      </c>
      <c r="E948" s="101">
        <v>3975</v>
      </c>
      <c r="F948" s="101">
        <v>2650.0000000000014</v>
      </c>
      <c r="G948" s="105">
        <v>1324.9999999999986</v>
      </c>
      <c r="H948" s="50" t="s">
        <v>654</v>
      </c>
      <c r="I948" s="50" t="s">
        <v>655</v>
      </c>
      <c r="J948" s="52">
        <v>46206</v>
      </c>
      <c r="K948" s="92">
        <v>46234</v>
      </c>
      <c r="L948" s="134" t="s">
        <v>734</v>
      </c>
    </row>
    <row r="949" spans="1:12">
      <c r="A949" s="89">
        <v>665366</v>
      </c>
      <c r="B949" s="50" t="s">
        <v>1312</v>
      </c>
      <c r="C949" s="89">
        <v>7792319971722</v>
      </c>
      <c r="D949" s="50" t="s">
        <v>1313</v>
      </c>
      <c r="E949" s="101">
        <v>3975</v>
      </c>
      <c r="F949" s="101">
        <v>2650.0000000000014</v>
      </c>
      <c r="G949" s="105">
        <v>1324.9999999999986</v>
      </c>
      <c r="H949" s="50" t="s">
        <v>654</v>
      </c>
      <c r="I949" s="50" t="s">
        <v>655</v>
      </c>
      <c r="J949" s="52">
        <v>46206</v>
      </c>
      <c r="K949" s="92">
        <v>46234</v>
      </c>
      <c r="L949" s="134" t="s">
        <v>734</v>
      </c>
    </row>
    <row r="950" spans="1:12">
      <c r="A950" s="94">
        <v>663726</v>
      </c>
      <c r="B950" s="1">
        <v>12509</v>
      </c>
      <c r="C950" s="94">
        <v>7798081668693</v>
      </c>
      <c r="D950" s="1" t="s">
        <v>1314</v>
      </c>
      <c r="E950" s="95">
        <v>22695.18</v>
      </c>
      <c r="F950" s="95">
        <v>18156.144</v>
      </c>
      <c r="G950" s="105">
        <v>4284.0360000000001</v>
      </c>
      <c r="H950" s="1" t="s">
        <v>17</v>
      </c>
      <c r="I950" s="1" t="s">
        <v>74</v>
      </c>
      <c r="J950" s="52">
        <v>46206</v>
      </c>
      <c r="K950" s="93">
        <v>46234</v>
      </c>
      <c r="L950" s="134" t="s">
        <v>734</v>
      </c>
    </row>
    <row r="951" spans="1:12">
      <c r="A951" s="94">
        <v>663725</v>
      </c>
      <c r="B951" s="1">
        <v>12369</v>
      </c>
      <c r="C951" s="94">
        <v>7798141874101</v>
      </c>
      <c r="D951" s="1" t="s">
        <v>1315</v>
      </c>
      <c r="E951" s="95">
        <v>19720.150000000001</v>
      </c>
      <c r="F951" s="95">
        <v>15776.120000000003</v>
      </c>
      <c r="G951" s="105">
        <v>3723.0299999999988</v>
      </c>
      <c r="H951" s="1" t="s">
        <v>17</v>
      </c>
      <c r="I951" s="1" t="s">
        <v>74</v>
      </c>
      <c r="J951" s="52">
        <v>46206</v>
      </c>
      <c r="K951" s="93">
        <v>46234</v>
      </c>
      <c r="L951" s="134" t="s">
        <v>734</v>
      </c>
    </row>
    <row r="952" spans="1:12">
      <c r="A952" s="94">
        <v>663735</v>
      </c>
      <c r="B952" s="1">
        <v>12368</v>
      </c>
      <c r="C952" s="94">
        <v>7798141871469</v>
      </c>
      <c r="D952" s="1" t="s">
        <v>1316</v>
      </c>
      <c r="E952" s="95">
        <v>45815.37</v>
      </c>
      <c r="F952" s="95">
        <v>36652.296000000002</v>
      </c>
      <c r="G952" s="105">
        <v>8653.07</v>
      </c>
      <c r="H952" s="1" t="s">
        <v>17</v>
      </c>
      <c r="I952" s="1" t="s">
        <v>74</v>
      </c>
      <c r="J952" s="52">
        <v>46206</v>
      </c>
      <c r="K952" s="93">
        <v>46234</v>
      </c>
      <c r="L952" s="134" t="s">
        <v>734</v>
      </c>
    </row>
    <row r="953" spans="1:12">
      <c r="A953" s="94">
        <v>14313</v>
      </c>
      <c r="B953" s="1">
        <v>12371</v>
      </c>
      <c r="C953" s="94">
        <v>7798081661335</v>
      </c>
      <c r="D953" s="1" t="s">
        <v>1317</v>
      </c>
      <c r="E953" s="95">
        <v>12537.61</v>
      </c>
      <c r="F953" s="95">
        <v>8358.8245869999992</v>
      </c>
      <c r="G953" s="105">
        <v>3937.969497000001</v>
      </c>
      <c r="H953" s="1" t="s">
        <v>17</v>
      </c>
      <c r="I953" s="1" t="s">
        <v>1318</v>
      </c>
      <c r="J953" s="52">
        <v>46206</v>
      </c>
      <c r="K953" s="93">
        <v>46234</v>
      </c>
      <c r="L953" s="134" t="s">
        <v>734</v>
      </c>
    </row>
    <row r="954" spans="1:12">
      <c r="A954" s="94">
        <v>665351</v>
      </c>
      <c r="B954" s="1">
        <v>12396</v>
      </c>
      <c r="C954" s="94">
        <v>7798081660406</v>
      </c>
      <c r="D954" s="1" t="s">
        <v>1319</v>
      </c>
      <c r="E954" s="95">
        <v>12537.61</v>
      </c>
      <c r="F954" s="95">
        <v>8358.8245869999992</v>
      </c>
      <c r="G954" s="105">
        <v>3937.969497000001</v>
      </c>
      <c r="H954" s="1" t="s">
        <v>17</v>
      </c>
      <c r="I954" s="1" t="s">
        <v>1318</v>
      </c>
      <c r="J954" s="52">
        <v>46206</v>
      </c>
      <c r="K954" s="93">
        <v>46234</v>
      </c>
      <c r="L954" s="134" t="s">
        <v>734</v>
      </c>
    </row>
    <row r="955" spans="1:12">
      <c r="A955" s="94">
        <v>665350</v>
      </c>
      <c r="B955" s="1">
        <v>12389</v>
      </c>
      <c r="C955" s="94">
        <v>7798141877140</v>
      </c>
      <c r="D955" s="1" t="s">
        <v>1320</v>
      </c>
      <c r="E955" s="95">
        <v>9171.5709999999999</v>
      </c>
      <c r="F955" s="95">
        <v>6114.6863856999998</v>
      </c>
      <c r="G955" s="105">
        <v>2889.7333311000002</v>
      </c>
      <c r="H955" s="1" t="s">
        <v>17</v>
      </c>
      <c r="I955" s="1" t="s">
        <v>1318</v>
      </c>
      <c r="J955" s="52">
        <v>46206</v>
      </c>
      <c r="K955" s="93">
        <v>46234</v>
      </c>
      <c r="L955" s="134" t="s">
        <v>734</v>
      </c>
    </row>
    <row r="956" spans="1:12">
      <c r="A956" s="94">
        <v>3148</v>
      </c>
      <c r="B956" s="1">
        <v>12373</v>
      </c>
      <c r="C956" s="94">
        <v>7798141877089</v>
      </c>
      <c r="D956" s="1" t="s">
        <v>1321</v>
      </c>
      <c r="E956" s="95">
        <v>9171.5709999999999</v>
      </c>
      <c r="F956" s="95">
        <v>6114.6863856999998</v>
      </c>
      <c r="G956" s="105">
        <v>2889.7333311000002</v>
      </c>
      <c r="H956" s="1" t="s">
        <v>17</v>
      </c>
      <c r="I956" s="1" t="s">
        <v>1318</v>
      </c>
      <c r="J956" s="52">
        <v>46206</v>
      </c>
      <c r="K956" s="93">
        <v>46234</v>
      </c>
      <c r="L956" s="134" t="s">
        <v>734</v>
      </c>
    </row>
    <row r="957" spans="1:12">
      <c r="A957" s="94">
        <v>664528</v>
      </c>
      <c r="B957" s="1">
        <v>12528</v>
      </c>
      <c r="C957" s="94">
        <v>7790168904465</v>
      </c>
      <c r="D957" s="1" t="s">
        <v>1322</v>
      </c>
      <c r="E957" s="95">
        <v>5415.05</v>
      </c>
      <c r="F957" s="95">
        <v>4061.2875000000004</v>
      </c>
      <c r="G957" s="105">
        <v>1246.8847500000002</v>
      </c>
      <c r="H957" s="1" t="s">
        <v>17</v>
      </c>
      <c r="I957" s="1" t="s">
        <v>23</v>
      </c>
      <c r="J957" s="52">
        <v>46206</v>
      </c>
      <c r="K957" s="93">
        <v>46234</v>
      </c>
      <c r="L957" s="134" t="s">
        <v>734</v>
      </c>
    </row>
    <row r="958" spans="1:12">
      <c r="A958" s="94">
        <v>664527</v>
      </c>
      <c r="B958" s="1">
        <v>12526</v>
      </c>
      <c r="C958" s="94">
        <v>7790168904434</v>
      </c>
      <c r="D958" s="1" t="s">
        <v>1323</v>
      </c>
      <c r="E958" s="95">
        <v>5415.05</v>
      </c>
      <c r="F958" s="95">
        <v>4061.2875000000004</v>
      </c>
      <c r="G958" s="105">
        <v>1246.8847500000002</v>
      </c>
      <c r="H958" s="1" t="s">
        <v>17</v>
      </c>
      <c r="I958" s="1" t="s">
        <v>23</v>
      </c>
      <c r="J958" s="52">
        <v>46206</v>
      </c>
      <c r="K958" s="93">
        <v>46234</v>
      </c>
      <c r="L958" s="134" t="s">
        <v>734</v>
      </c>
    </row>
    <row r="959" spans="1:12">
      <c r="A959" s="94">
        <v>664526</v>
      </c>
      <c r="B959" s="1">
        <v>12524</v>
      </c>
      <c r="C959" s="94">
        <v>7790168904403</v>
      </c>
      <c r="D959" s="1" t="s">
        <v>1324</v>
      </c>
      <c r="E959" s="95">
        <v>5415.05</v>
      </c>
      <c r="F959" s="95">
        <v>4061.2875000000004</v>
      </c>
      <c r="G959" s="105">
        <v>1246.8847500000002</v>
      </c>
      <c r="H959" s="1" t="s">
        <v>17</v>
      </c>
      <c r="I959" s="1" t="s">
        <v>23</v>
      </c>
      <c r="J959" s="52">
        <v>46206</v>
      </c>
      <c r="K959" s="93">
        <v>46234</v>
      </c>
      <c r="L959" s="134" t="s">
        <v>734</v>
      </c>
    </row>
    <row r="960" spans="1:12">
      <c r="A960" s="94">
        <v>662762</v>
      </c>
      <c r="B960" s="1">
        <v>12472</v>
      </c>
      <c r="C960" s="94">
        <v>7790168903802</v>
      </c>
      <c r="D960" s="1" t="s">
        <v>1325</v>
      </c>
      <c r="E960" s="95">
        <v>6032.5479999999998</v>
      </c>
      <c r="F960" s="95">
        <v>4524.4110000000001</v>
      </c>
      <c r="G960" s="105">
        <v>1401.26325</v>
      </c>
      <c r="H960" s="1" t="s">
        <v>17</v>
      </c>
      <c r="I960" s="1" t="s">
        <v>23</v>
      </c>
      <c r="J960" s="52">
        <v>46206</v>
      </c>
      <c r="K960" s="93">
        <v>46234</v>
      </c>
      <c r="L960" s="134" t="s">
        <v>734</v>
      </c>
    </row>
    <row r="961" spans="1:12">
      <c r="A961" s="94">
        <v>5583</v>
      </c>
      <c r="B961" s="1">
        <v>12474</v>
      </c>
      <c r="C961" s="94">
        <v>7790168903895</v>
      </c>
      <c r="D961" s="1" t="s">
        <v>1326</v>
      </c>
      <c r="E961" s="95">
        <v>7982.0910000000003</v>
      </c>
      <c r="F961" s="95">
        <v>5986.5682500000003</v>
      </c>
      <c r="G961" s="105">
        <v>1857.8999999999996</v>
      </c>
      <c r="H961" s="1" t="s">
        <v>17</v>
      </c>
      <c r="I961" s="1" t="s">
        <v>23</v>
      </c>
      <c r="J961" s="52">
        <v>46206</v>
      </c>
      <c r="K961" s="93">
        <v>46234</v>
      </c>
      <c r="L961" s="134" t="s">
        <v>734</v>
      </c>
    </row>
    <row r="962" spans="1:12">
      <c r="A962" s="94">
        <v>10236</v>
      </c>
      <c r="B962" s="1">
        <v>12377</v>
      </c>
      <c r="C962" s="94">
        <v>7798141877379</v>
      </c>
      <c r="D962" s="1" t="s">
        <v>1327</v>
      </c>
      <c r="E962" s="95">
        <v>6126.5119999999997</v>
      </c>
      <c r="F962" s="95">
        <v>4594.884</v>
      </c>
      <c r="G962" s="105">
        <v>1424.7707499999997</v>
      </c>
      <c r="H962" s="1" t="s">
        <v>17</v>
      </c>
      <c r="I962" s="1" t="s">
        <v>23</v>
      </c>
      <c r="J962" s="52">
        <v>46206</v>
      </c>
      <c r="K962" s="93">
        <v>46234</v>
      </c>
      <c r="L962" s="134" t="s">
        <v>734</v>
      </c>
    </row>
    <row r="963" spans="1:12">
      <c r="A963" s="94">
        <v>6804</v>
      </c>
      <c r="B963" s="1">
        <v>12397</v>
      </c>
      <c r="C963" s="94">
        <v>7798141877638</v>
      </c>
      <c r="D963" s="1" t="s">
        <v>1328</v>
      </c>
      <c r="E963" s="95">
        <v>6126.5119999999997</v>
      </c>
      <c r="F963" s="95">
        <v>4594.884</v>
      </c>
      <c r="G963" s="105">
        <v>1424.7707499999997</v>
      </c>
      <c r="H963" s="1" t="s">
        <v>17</v>
      </c>
      <c r="I963" s="1" t="s">
        <v>23</v>
      </c>
      <c r="J963" s="52">
        <v>46206</v>
      </c>
      <c r="K963" s="93">
        <v>46234</v>
      </c>
      <c r="L963" s="134" t="s">
        <v>734</v>
      </c>
    </row>
    <row r="964" spans="1:12">
      <c r="A964" s="94">
        <v>2276</v>
      </c>
      <c r="B964" s="1">
        <v>12375</v>
      </c>
      <c r="C964" s="94">
        <v>7798141877393</v>
      </c>
      <c r="D964" s="1" t="s">
        <v>1329</v>
      </c>
      <c r="E964" s="95">
        <v>6840.63</v>
      </c>
      <c r="F964" s="95">
        <v>5130.4724999999999</v>
      </c>
      <c r="G964" s="105">
        <v>1582.2752499999997</v>
      </c>
      <c r="H964" s="1" t="s">
        <v>17</v>
      </c>
      <c r="I964" s="1" t="s">
        <v>23</v>
      </c>
      <c r="J964" s="52">
        <v>46206</v>
      </c>
      <c r="K964" s="93">
        <v>46234</v>
      </c>
      <c r="L964" s="134" t="s">
        <v>734</v>
      </c>
    </row>
    <row r="965" spans="1:12">
      <c r="A965" s="94">
        <v>1108</v>
      </c>
      <c r="B965" s="1">
        <v>12388</v>
      </c>
      <c r="C965" s="94">
        <v>7798141877560</v>
      </c>
      <c r="D965" s="1" t="s">
        <v>1330</v>
      </c>
      <c r="E965" s="95">
        <v>6840.63</v>
      </c>
      <c r="F965" s="95">
        <v>5130.4724999999999</v>
      </c>
      <c r="G965" s="105">
        <v>1582.2752499999997</v>
      </c>
      <c r="H965" s="1" t="s">
        <v>17</v>
      </c>
      <c r="I965" s="1" t="s">
        <v>23</v>
      </c>
      <c r="J965" s="52">
        <v>46206</v>
      </c>
      <c r="K965" s="93">
        <v>46234</v>
      </c>
      <c r="L965" s="134" t="s">
        <v>734</v>
      </c>
    </row>
    <row r="966" spans="1:12">
      <c r="A966" s="94">
        <v>7816</v>
      </c>
      <c r="B966" s="1">
        <v>12374</v>
      </c>
      <c r="C966" s="94">
        <v>7798141877386</v>
      </c>
      <c r="D966" s="1" t="s">
        <v>1331</v>
      </c>
      <c r="E966" s="95">
        <v>6840.63</v>
      </c>
      <c r="F966" s="95">
        <v>5130.4724999999999</v>
      </c>
      <c r="G966" s="105">
        <v>1582.2752499999997</v>
      </c>
      <c r="H966" s="1" t="s">
        <v>17</v>
      </c>
      <c r="I966" s="1" t="s">
        <v>23</v>
      </c>
      <c r="J966" s="52">
        <v>46206</v>
      </c>
      <c r="K966" s="93">
        <v>46234</v>
      </c>
      <c r="L966" s="134" t="s">
        <v>734</v>
      </c>
    </row>
    <row r="967" spans="1:12">
      <c r="A967" s="94">
        <v>6805</v>
      </c>
      <c r="B967" s="1">
        <v>12376</v>
      </c>
      <c r="C967" s="94">
        <v>7798141877362</v>
      </c>
      <c r="D967" s="1" t="s">
        <v>1332</v>
      </c>
      <c r="E967" s="95">
        <v>6126.5119999999997</v>
      </c>
      <c r="F967" s="95">
        <v>4594.884</v>
      </c>
      <c r="G967" s="105">
        <v>1424.7707499999997</v>
      </c>
      <c r="H967" s="1" t="s">
        <v>17</v>
      </c>
      <c r="I967" s="1" t="s">
        <v>23</v>
      </c>
      <c r="J967" s="52">
        <v>46206</v>
      </c>
      <c r="K967" s="93">
        <v>46234</v>
      </c>
      <c r="L967" s="134" t="s">
        <v>734</v>
      </c>
    </row>
    <row r="968" spans="1:12">
      <c r="A968" s="94">
        <v>664524</v>
      </c>
      <c r="B968" s="1">
        <v>12518</v>
      </c>
      <c r="C968" s="94">
        <v>7798081669164</v>
      </c>
      <c r="D968" s="1" t="s">
        <v>1333</v>
      </c>
      <c r="E968" s="95">
        <v>10216.44</v>
      </c>
      <c r="F968" s="95">
        <v>6811.3005480000002</v>
      </c>
      <c r="G968" s="105">
        <v>3212.3957283</v>
      </c>
      <c r="H968" s="1" t="s">
        <v>17</v>
      </c>
      <c r="I968" s="1" t="s">
        <v>1318</v>
      </c>
      <c r="J968" s="52">
        <v>46206</v>
      </c>
      <c r="K968" s="93">
        <v>46234</v>
      </c>
      <c r="L968" s="134" t="s">
        <v>734</v>
      </c>
    </row>
  </sheetData>
  <autoFilter ref="A1:N329" xr:uid="{0BDA83FB-36F5-4F27-8307-22D458931910}"/>
  <sortState xmlns:xlrd2="http://schemas.microsoft.com/office/spreadsheetml/2017/richdata2" ref="A122:L139">
    <sortCondition ref="D122:D13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V392"/>
  <sheetViews>
    <sheetView zoomScale="55" zoomScaleNormal="55" workbookViewId="0">
      <selection activeCell="E159" sqref="E159"/>
    </sheetView>
  </sheetViews>
  <sheetFormatPr baseColWidth="10" defaultRowHeight="15"/>
  <cols>
    <col min="1" max="1" width="7.42578125" bestFit="1" customWidth="1"/>
    <col min="2" max="2" width="10.85546875" style="12" bestFit="1" customWidth="1"/>
    <col min="3" max="3" width="16.7109375" bestFit="1" customWidth="1"/>
    <col min="4" max="4" width="50.28515625" bestFit="1" customWidth="1"/>
    <col min="6" max="6" width="11.7109375" bestFit="1" customWidth="1"/>
    <col min="7" max="7" width="10.7109375" style="12" bestFit="1" customWidth="1"/>
    <col min="8" max="8" width="11.42578125" style="12"/>
    <col min="9" max="9" width="30.5703125" bestFit="1" customWidth="1"/>
    <col min="13" max="13" width="32.28515625" style="12" bestFit="1" customWidth="1"/>
  </cols>
  <sheetData>
    <row r="1" spans="1:13" s="6" customFormat="1" ht="15.75" thickBot="1">
      <c r="A1" s="5" t="s">
        <v>0</v>
      </c>
      <c r="B1" s="13" t="s">
        <v>1</v>
      </c>
      <c r="C1" s="5" t="s">
        <v>2</v>
      </c>
      <c r="D1" s="5" t="s">
        <v>3</v>
      </c>
      <c r="E1" s="7" t="s">
        <v>4</v>
      </c>
      <c r="F1" s="5" t="s">
        <v>8</v>
      </c>
      <c r="G1" s="11" t="s">
        <v>9</v>
      </c>
      <c r="H1" s="11" t="s">
        <v>10</v>
      </c>
      <c r="I1" s="5" t="s">
        <v>60</v>
      </c>
      <c r="J1" s="5" t="s">
        <v>12</v>
      </c>
      <c r="K1" s="5" t="s">
        <v>13</v>
      </c>
      <c r="M1" s="54"/>
    </row>
    <row r="2" spans="1:13">
      <c r="A2" s="62">
        <v>666527</v>
      </c>
      <c r="B2" s="59">
        <v>656412</v>
      </c>
      <c r="C2" s="60">
        <v>7791337010017</v>
      </c>
      <c r="D2" s="57" t="s">
        <v>1606</v>
      </c>
      <c r="E2" s="57">
        <v>4100</v>
      </c>
      <c r="F2" s="58" t="s">
        <v>628</v>
      </c>
      <c r="G2" s="55">
        <v>46212</v>
      </c>
      <c r="H2" s="55">
        <v>46234</v>
      </c>
      <c r="I2" s="21" t="s">
        <v>61</v>
      </c>
    </row>
    <row r="3" spans="1:13">
      <c r="A3" s="62">
        <v>666528</v>
      </c>
      <c r="B3" s="59">
        <v>656419</v>
      </c>
      <c r="C3" s="60">
        <v>7791337010000</v>
      </c>
      <c r="D3" s="57" t="s">
        <v>1607</v>
      </c>
      <c r="E3" s="57">
        <v>4100</v>
      </c>
      <c r="F3" s="58" t="s">
        <v>628</v>
      </c>
      <c r="G3" s="55">
        <v>46212</v>
      </c>
      <c r="H3" s="55">
        <v>46234</v>
      </c>
      <c r="I3" s="21" t="s">
        <v>61</v>
      </c>
    </row>
    <row r="4" spans="1:13">
      <c r="A4" s="62">
        <v>666513</v>
      </c>
      <c r="B4" s="59">
        <v>656001</v>
      </c>
      <c r="C4" s="60">
        <v>7791337009950</v>
      </c>
      <c r="D4" s="57" t="s">
        <v>1608</v>
      </c>
      <c r="E4" s="57">
        <v>1900</v>
      </c>
      <c r="F4" s="58" t="s">
        <v>628</v>
      </c>
      <c r="G4" s="55">
        <v>46212</v>
      </c>
      <c r="H4" s="55">
        <v>46234</v>
      </c>
      <c r="I4" s="21" t="s">
        <v>61</v>
      </c>
    </row>
    <row r="5" spans="1:13">
      <c r="A5" s="62">
        <v>666512</v>
      </c>
      <c r="B5" s="59">
        <v>656002</v>
      </c>
      <c r="C5" s="60">
        <v>7791337009943</v>
      </c>
      <c r="D5" s="57" t="s">
        <v>1609</v>
      </c>
      <c r="E5" s="57">
        <v>1900</v>
      </c>
      <c r="F5" s="58" t="s">
        <v>628</v>
      </c>
      <c r="G5" s="55">
        <v>46212</v>
      </c>
      <c r="H5" s="55">
        <v>46234</v>
      </c>
      <c r="I5" s="21" t="s">
        <v>61</v>
      </c>
    </row>
    <row r="6" spans="1:13">
      <c r="A6" s="62">
        <v>666529</v>
      </c>
      <c r="B6" s="59">
        <v>656119</v>
      </c>
      <c r="C6" s="60">
        <v>7791337009981</v>
      </c>
      <c r="D6" s="57" t="s">
        <v>1610</v>
      </c>
      <c r="E6" s="57">
        <v>2800</v>
      </c>
      <c r="F6" s="58" t="s">
        <v>628</v>
      </c>
      <c r="G6" s="55">
        <v>46212</v>
      </c>
      <c r="H6" s="55">
        <v>46234</v>
      </c>
      <c r="I6" s="21" t="s">
        <v>61</v>
      </c>
    </row>
    <row r="7" spans="1:13">
      <c r="A7" s="62">
        <v>666514</v>
      </c>
      <c r="B7" s="59">
        <v>656112</v>
      </c>
      <c r="C7" s="60">
        <v>7791337009998</v>
      </c>
      <c r="D7" s="57" t="s">
        <v>1611</v>
      </c>
      <c r="E7" s="57">
        <v>2800</v>
      </c>
      <c r="F7" s="58" t="s">
        <v>628</v>
      </c>
      <c r="G7" s="55">
        <v>46212</v>
      </c>
      <c r="H7" s="55">
        <v>46234</v>
      </c>
      <c r="I7" s="21" t="s">
        <v>61</v>
      </c>
    </row>
    <row r="8" spans="1:13">
      <c r="A8" s="62">
        <v>659762</v>
      </c>
      <c r="B8" s="59">
        <v>937712</v>
      </c>
      <c r="C8" s="60">
        <v>7791337004191</v>
      </c>
      <c r="D8" s="57" t="s">
        <v>1612</v>
      </c>
      <c r="E8" s="57">
        <v>4770</v>
      </c>
      <c r="F8" s="58" t="s">
        <v>628</v>
      </c>
      <c r="G8" s="55">
        <v>46212</v>
      </c>
      <c r="H8" s="55">
        <v>46234</v>
      </c>
      <c r="I8" s="21" t="s">
        <v>61</v>
      </c>
    </row>
    <row r="9" spans="1:13">
      <c r="A9" s="62">
        <v>666255</v>
      </c>
      <c r="B9" s="59">
        <v>954606</v>
      </c>
      <c r="C9" s="60">
        <v>7791337009868</v>
      </c>
      <c r="D9" s="57" t="s">
        <v>1613</v>
      </c>
      <c r="E9" s="57">
        <v>7749</v>
      </c>
      <c r="F9" s="58" t="s">
        <v>628</v>
      </c>
      <c r="G9" s="55">
        <v>46212</v>
      </c>
      <c r="H9" s="55">
        <v>46234</v>
      </c>
      <c r="I9" s="21" t="s">
        <v>61</v>
      </c>
    </row>
    <row r="10" spans="1:13">
      <c r="A10" s="62">
        <v>666256</v>
      </c>
      <c r="B10" s="59">
        <v>954501</v>
      </c>
      <c r="C10" s="60">
        <v>7791337009882</v>
      </c>
      <c r="D10" s="57" t="s">
        <v>1614</v>
      </c>
      <c r="E10" s="57">
        <v>7749</v>
      </c>
      <c r="F10" s="58" t="s">
        <v>628</v>
      </c>
      <c r="G10" s="55">
        <v>46212</v>
      </c>
      <c r="H10" s="55">
        <v>46234</v>
      </c>
      <c r="I10" s="21" t="s">
        <v>61</v>
      </c>
    </row>
    <row r="11" spans="1:13">
      <c r="A11" s="62">
        <v>665587</v>
      </c>
      <c r="B11" s="59">
        <v>954407</v>
      </c>
      <c r="C11" s="60">
        <v>7791337009608</v>
      </c>
      <c r="D11" s="57" t="s">
        <v>1615</v>
      </c>
      <c r="E11" s="57">
        <v>7749</v>
      </c>
      <c r="F11" s="58" t="s">
        <v>628</v>
      </c>
      <c r="G11" s="55">
        <v>46212</v>
      </c>
      <c r="H11" s="55">
        <v>46234</v>
      </c>
      <c r="I11" s="21" t="s">
        <v>61</v>
      </c>
    </row>
    <row r="12" spans="1:13">
      <c r="A12" s="62">
        <v>667073</v>
      </c>
      <c r="B12" s="59">
        <v>640008</v>
      </c>
      <c r="C12" s="60">
        <v>7791337010604</v>
      </c>
      <c r="D12" s="57" t="s">
        <v>1616</v>
      </c>
      <c r="E12" s="57">
        <v>4499</v>
      </c>
      <c r="F12" s="58" t="s">
        <v>628</v>
      </c>
      <c r="G12" s="55">
        <v>46212</v>
      </c>
      <c r="H12" s="55">
        <v>46234</v>
      </c>
      <c r="I12" s="21" t="s">
        <v>61</v>
      </c>
    </row>
    <row r="13" spans="1:13">
      <c r="A13" s="62">
        <v>667070</v>
      </c>
      <c r="B13" s="59">
        <v>640007</v>
      </c>
      <c r="C13" s="60">
        <v>7791337010598</v>
      </c>
      <c r="D13" s="57" t="s">
        <v>1617</v>
      </c>
      <c r="E13" s="57">
        <v>4499</v>
      </c>
      <c r="F13" s="58" t="s">
        <v>628</v>
      </c>
      <c r="G13" s="55">
        <v>46212</v>
      </c>
      <c r="H13" s="55">
        <v>46234</v>
      </c>
      <c r="I13" s="21" t="s">
        <v>61</v>
      </c>
    </row>
    <row r="14" spans="1:13">
      <c r="A14" s="62">
        <v>667071</v>
      </c>
      <c r="B14" s="59">
        <v>640006</v>
      </c>
      <c r="C14" s="60">
        <v>7791337010581</v>
      </c>
      <c r="D14" s="57" t="s">
        <v>1618</v>
      </c>
      <c r="E14" s="57">
        <v>4499</v>
      </c>
      <c r="F14" s="58" t="s">
        <v>628</v>
      </c>
      <c r="G14" s="55">
        <v>46212</v>
      </c>
      <c r="H14" s="55">
        <v>46234</v>
      </c>
      <c r="I14" s="21" t="s">
        <v>61</v>
      </c>
    </row>
    <row r="15" spans="1:13">
      <c r="A15" s="62">
        <v>667072</v>
      </c>
      <c r="B15" s="59">
        <v>640005</v>
      </c>
      <c r="C15" s="60">
        <v>7791337010574</v>
      </c>
      <c r="D15" s="57" t="s">
        <v>1619</v>
      </c>
      <c r="E15" s="57">
        <v>4499</v>
      </c>
      <c r="F15" s="58" t="s">
        <v>628</v>
      </c>
      <c r="G15" s="55">
        <v>46212</v>
      </c>
      <c r="H15" s="55">
        <v>46234</v>
      </c>
      <c r="I15" s="21" t="s">
        <v>61</v>
      </c>
    </row>
    <row r="16" spans="1:13">
      <c r="A16" s="62">
        <v>666931</v>
      </c>
      <c r="B16" s="59">
        <v>610015</v>
      </c>
      <c r="C16" s="60">
        <v>7791337010208</v>
      </c>
      <c r="D16" s="57" t="s">
        <v>1620</v>
      </c>
      <c r="E16" s="57">
        <v>750</v>
      </c>
      <c r="F16" s="58" t="s">
        <v>628</v>
      </c>
      <c r="G16" s="55">
        <v>46212</v>
      </c>
      <c r="H16" s="55">
        <v>46234</v>
      </c>
      <c r="I16" s="21" t="s">
        <v>61</v>
      </c>
    </row>
    <row r="17" spans="1:9">
      <c r="A17" s="62">
        <v>666932</v>
      </c>
      <c r="B17" s="59">
        <v>610014</v>
      </c>
      <c r="C17" s="60">
        <v>7791337010260</v>
      </c>
      <c r="D17" s="57" t="s">
        <v>1621</v>
      </c>
      <c r="E17" s="57">
        <v>750</v>
      </c>
      <c r="F17" s="58" t="s">
        <v>628</v>
      </c>
      <c r="G17" s="55">
        <v>46212</v>
      </c>
      <c r="H17" s="55">
        <v>46234</v>
      </c>
      <c r="I17" s="21" t="s">
        <v>61</v>
      </c>
    </row>
    <row r="18" spans="1:9">
      <c r="A18" s="62">
        <v>666930</v>
      </c>
      <c r="B18" s="59">
        <v>610016</v>
      </c>
      <c r="C18" s="60">
        <v>7791337010437</v>
      </c>
      <c r="D18" s="57" t="s">
        <v>1622</v>
      </c>
      <c r="E18" s="57">
        <v>750</v>
      </c>
      <c r="F18" s="58" t="s">
        <v>628</v>
      </c>
      <c r="G18" s="55">
        <v>46212</v>
      </c>
      <c r="H18" s="55">
        <v>46234</v>
      </c>
      <c r="I18" s="21" t="s">
        <v>61</v>
      </c>
    </row>
    <row r="19" spans="1:9">
      <c r="A19" s="62">
        <v>666872</v>
      </c>
      <c r="B19" s="59">
        <v>610030</v>
      </c>
      <c r="C19" s="60">
        <v>7791337010727</v>
      </c>
      <c r="D19" s="57" t="s">
        <v>1623</v>
      </c>
      <c r="E19" s="57">
        <v>750</v>
      </c>
      <c r="F19" s="58" t="s">
        <v>628</v>
      </c>
      <c r="G19" s="55">
        <v>46212</v>
      </c>
      <c r="H19" s="55">
        <v>46234</v>
      </c>
      <c r="I19" s="21" t="s">
        <v>61</v>
      </c>
    </row>
    <row r="20" spans="1:9">
      <c r="A20" s="62">
        <v>666936</v>
      </c>
      <c r="B20" s="59">
        <v>610013</v>
      </c>
      <c r="C20" s="60">
        <v>7791337010420</v>
      </c>
      <c r="D20" s="57" t="s">
        <v>1624</v>
      </c>
      <c r="E20" s="57">
        <v>750</v>
      </c>
      <c r="F20" s="58" t="s">
        <v>628</v>
      </c>
      <c r="G20" s="55">
        <v>46212</v>
      </c>
      <c r="H20" s="55">
        <v>46234</v>
      </c>
      <c r="I20" s="21" t="s">
        <v>61</v>
      </c>
    </row>
    <row r="21" spans="1:9">
      <c r="A21" s="62">
        <v>666937</v>
      </c>
      <c r="B21" s="59">
        <v>610012</v>
      </c>
      <c r="C21" s="60">
        <v>7791337010413</v>
      </c>
      <c r="D21" s="57" t="s">
        <v>1625</v>
      </c>
      <c r="E21" s="57">
        <v>750</v>
      </c>
      <c r="F21" s="58" t="s">
        <v>628</v>
      </c>
      <c r="G21" s="55">
        <v>46212</v>
      </c>
      <c r="H21" s="55">
        <v>46234</v>
      </c>
      <c r="I21" s="21" t="s">
        <v>61</v>
      </c>
    </row>
    <row r="22" spans="1:9">
      <c r="A22" s="62">
        <v>666928</v>
      </c>
      <c r="B22" s="59">
        <v>610018</v>
      </c>
      <c r="C22" s="60">
        <v>7791337010307</v>
      </c>
      <c r="D22" s="57" t="s">
        <v>1626</v>
      </c>
      <c r="E22" s="57">
        <v>750</v>
      </c>
      <c r="F22" s="58" t="s">
        <v>628</v>
      </c>
      <c r="G22" s="55">
        <v>46212</v>
      </c>
      <c r="H22" s="55">
        <v>46234</v>
      </c>
      <c r="I22" s="21" t="s">
        <v>61</v>
      </c>
    </row>
    <row r="23" spans="1:9">
      <c r="A23" s="62">
        <v>666929</v>
      </c>
      <c r="B23" s="59">
        <v>610017</v>
      </c>
      <c r="C23" s="60">
        <v>7791337010314</v>
      </c>
      <c r="D23" s="57" t="s">
        <v>1627</v>
      </c>
      <c r="E23" s="57">
        <v>750</v>
      </c>
      <c r="F23" s="58" t="s">
        <v>628</v>
      </c>
      <c r="G23" s="55">
        <v>46212</v>
      </c>
      <c r="H23" s="55">
        <v>46234</v>
      </c>
      <c r="I23" s="21" t="s">
        <v>61</v>
      </c>
    </row>
    <row r="24" spans="1:9">
      <c r="A24" s="62">
        <v>666904</v>
      </c>
      <c r="B24" s="59">
        <v>610028</v>
      </c>
      <c r="C24" s="60">
        <v>7791337010451</v>
      </c>
      <c r="D24" s="57" t="s">
        <v>1628</v>
      </c>
      <c r="E24" s="57">
        <v>2800</v>
      </c>
      <c r="F24" s="58" t="s">
        <v>628</v>
      </c>
      <c r="G24" s="55">
        <v>46212</v>
      </c>
      <c r="H24" s="55">
        <v>46234</v>
      </c>
      <c r="I24" s="21" t="s">
        <v>61</v>
      </c>
    </row>
    <row r="25" spans="1:9">
      <c r="A25" s="62">
        <v>666905</v>
      </c>
      <c r="B25" s="59">
        <v>610026</v>
      </c>
      <c r="C25" s="60">
        <v>7791337010444</v>
      </c>
      <c r="D25" s="57" t="s">
        <v>1629</v>
      </c>
      <c r="E25" s="57">
        <v>2800</v>
      </c>
      <c r="F25" s="58" t="s">
        <v>628</v>
      </c>
      <c r="G25" s="55">
        <v>46212</v>
      </c>
      <c r="H25" s="55">
        <v>46234</v>
      </c>
      <c r="I25" s="21" t="s">
        <v>61</v>
      </c>
    </row>
    <row r="26" spans="1:9">
      <c r="A26" s="62">
        <v>666938</v>
      </c>
      <c r="B26" s="59">
        <v>610027</v>
      </c>
      <c r="C26" s="60">
        <v>7791337010291</v>
      </c>
      <c r="D26" s="57" t="s">
        <v>1630</v>
      </c>
      <c r="E26" s="57">
        <v>2800</v>
      </c>
      <c r="F26" s="58" t="s">
        <v>628</v>
      </c>
      <c r="G26" s="55">
        <v>46212</v>
      </c>
      <c r="H26" s="55">
        <v>46234</v>
      </c>
      <c r="I26" s="21" t="s">
        <v>61</v>
      </c>
    </row>
    <row r="27" spans="1:9">
      <c r="A27" s="62">
        <v>663353</v>
      </c>
      <c r="B27" s="59">
        <v>614200</v>
      </c>
      <c r="C27" s="60">
        <v>7791337060999</v>
      </c>
      <c r="D27" s="57" t="s">
        <v>1631</v>
      </c>
      <c r="E27" s="57">
        <v>3499</v>
      </c>
      <c r="F27" s="58" t="s">
        <v>628</v>
      </c>
      <c r="G27" s="55">
        <v>46212</v>
      </c>
      <c r="H27" s="55">
        <v>46234</v>
      </c>
      <c r="I27" s="21" t="s">
        <v>61</v>
      </c>
    </row>
    <row r="28" spans="1:9">
      <c r="A28" s="62">
        <v>661211</v>
      </c>
      <c r="B28" s="59">
        <v>614300</v>
      </c>
      <c r="C28" s="60">
        <v>7791337006539</v>
      </c>
      <c r="D28" s="57" t="s">
        <v>1632</v>
      </c>
      <c r="E28" s="57">
        <v>3499</v>
      </c>
      <c r="F28" s="58" t="s">
        <v>628</v>
      </c>
      <c r="G28" s="55">
        <v>46212</v>
      </c>
      <c r="H28" s="55">
        <v>46234</v>
      </c>
      <c r="I28" s="21" t="s">
        <v>61</v>
      </c>
    </row>
    <row r="29" spans="1:9">
      <c r="A29" s="62">
        <v>665853</v>
      </c>
      <c r="B29" s="59">
        <v>615200</v>
      </c>
      <c r="C29" s="60">
        <v>7791337009844</v>
      </c>
      <c r="D29" s="57" t="s">
        <v>1633</v>
      </c>
      <c r="E29" s="57">
        <v>5199</v>
      </c>
      <c r="F29" s="58" t="s">
        <v>628</v>
      </c>
      <c r="G29" s="55">
        <v>46212</v>
      </c>
      <c r="H29" s="55">
        <v>46234</v>
      </c>
      <c r="I29" s="21" t="s">
        <v>61</v>
      </c>
    </row>
    <row r="30" spans="1:9">
      <c r="A30" s="62">
        <v>665875</v>
      </c>
      <c r="B30" s="59">
        <v>615100</v>
      </c>
      <c r="C30" s="60">
        <v>7791337009851</v>
      </c>
      <c r="D30" s="57" t="s">
        <v>1634</v>
      </c>
      <c r="E30" s="57">
        <v>5199</v>
      </c>
      <c r="F30" s="58" t="s">
        <v>628</v>
      </c>
      <c r="G30" s="55">
        <v>46212</v>
      </c>
      <c r="H30" s="55">
        <v>46234</v>
      </c>
      <c r="I30" s="21" t="s">
        <v>61</v>
      </c>
    </row>
    <row r="31" spans="1:9">
      <c r="A31" s="62">
        <v>666873</v>
      </c>
      <c r="B31" s="59">
        <v>610022</v>
      </c>
      <c r="C31" s="60">
        <v>7791337010192</v>
      </c>
      <c r="D31" s="57" t="s">
        <v>1635</v>
      </c>
      <c r="E31" s="57">
        <v>1500</v>
      </c>
      <c r="F31" s="58" t="s">
        <v>628</v>
      </c>
      <c r="G31" s="55">
        <v>46212</v>
      </c>
      <c r="H31" s="55">
        <v>46234</v>
      </c>
      <c r="I31" s="21" t="s">
        <v>61</v>
      </c>
    </row>
    <row r="32" spans="1:9">
      <c r="A32" s="62">
        <v>666874</v>
      </c>
      <c r="B32" s="59">
        <v>610021</v>
      </c>
      <c r="C32" s="60">
        <v>7791337010185</v>
      </c>
      <c r="D32" s="57" t="s">
        <v>1636</v>
      </c>
      <c r="E32" s="57">
        <v>1500</v>
      </c>
      <c r="F32" s="58" t="s">
        <v>628</v>
      </c>
      <c r="G32" s="55">
        <v>46212</v>
      </c>
      <c r="H32" s="55">
        <v>46234</v>
      </c>
      <c r="I32" s="21" t="s">
        <v>61</v>
      </c>
    </row>
    <row r="33" spans="1:9">
      <c r="A33" s="62">
        <v>666906</v>
      </c>
      <c r="B33" s="59">
        <v>610024</v>
      </c>
      <c r="C33" s="60">
        <v>7791337010321</v>
      </c>
      <c r="D33" s="57" t="s">
        <v>1637</v>
      </c>
      <c r="E33" s="57">
        <v>1500</v>
      </c>
      <c r="F33" s="58" t="s">
        <v>628</v>
      </c>
      <c r="G33" s="55">
        <v>46212</v>
      </c>
      <c r="H33" s="55">
        <v>46234</v>
      </c>
      <c r="I33" s="21" t="s">
        <v>61</v>
      </c>
    </row>
    <row r="34" spans="1:9">
      <c r="A34" s="62">
        <v>666907</v>
      </c>
      <c r="B34" s="59">
        <v>610023</v>
      </c>
      <c r="C34" s="60">
        <v>7791337010338</v>
      </c>
      <c r="D34" s="57" t="s">
        <v>1638</v>
      </c>
      <c r="E34" s="57">
        <v>1500</v>
      </c>
      <c r="F34" s="58" t="s">
        <v>628</v>
      </c>
      <c r="G34" s="55">
        <v>46212</v>
      </c>
      <c r="H34" s="55">
        <v>46234</v>
      </c>
      <c r="I34" s="21" t="s">
        <v>61</v>
      </c>
    </row>
    <row r="35" spans="1:9">
      <c r="A35" s="62">
        <v>663330</v>
      </c>
      <c r="B35" s="59">
        <v>613600</v>
      </c>
      <c r="C35" s="60">
        <v>7791337060913</v>
      </c>
      <c r="D35" s="57" t="s">
        <v>1639</v>
      </c>
      <c r="E35" s="57">
        <v>4799</v>
      </c>
      <c r="F35" s="58" t="s">
        <v>628</v>
      </c>
      <c r="G35" s="55">
        <v>46212</v>
      </c>
      <c r="H35" s="55">
        <v>46234</v>
      </c>
      <c r="I35" s="21" t="s">
        <v>61</v>
      </c>
    </row>
    <row r="36" spans="1:9">
      <c r="A36" s="62">
        <v>663332</v>
      </c>
      <c r="B36" s="59">
        <v>609400</v>
      </c>
      <c r="C36" s="60">
        <v>7791337060944</v>
      </c>
      <c r="D36" s="57" t="s">
        <v>1640</v>
      </c>
      <c r="E36" s="57">
        <v>4799</v>
      </c>
      <c r="F36" s="58" t="s">
        <v>628</v>
      </c>
      <c r="G36" s="55">
        <v>46212</v>
      </c>
      <c r="H36" s="55">
        <v>46234</v>
      </c>
      <c r="I36" s="21" t="s">
        <v>61</v>
      </c>
    </row>
    <row r="37" spans="1:9">
      <c r="A37" s="62">
        <v>663331</v>
      </c>
      <c r="B37" s="59">
        <v>613800</v>
      </c>
      <c r="C37" s="60">
        <v>7791337060937</v>
      </c>
      <c r="D37" s="57" t="s">
        <v>1641</v>
      </c>
      <c r="E37" s="57">
        <v>4799</v>
      </c>
      <c r="F37" s="58" t="s">
        <v>628</v>
      </c>
      <c r="G37" s="55">
        <v>46212</v>
      </c>
      <c r="H37" s="55">
        <v>46234</v>
      </c>
      <c r="I37" s="21" t="s">
        <v>61</v>
      </c>
    </row>
    <row r="38" spans="1:9">
      <c r="A38" s="62">
        <v>665851</v>
      </c>
      <c r="B38" s="59">
        <v>614900</v>
      </c>
      <c r="C38" s="60">
        <v>7791337061491</v>
      </c>
      <c r="D38" s="57" t="s">
        <v>1642</v>
      </c>
      <c r="E38" s="57">
        <v>7800</v>
      </c>
      <c r="F38" s="58" t="s">
        <v>628</v>
      </c>
      <c r="G38" s="55">
        <v>46212</v>
      </c>
      <c r="H38" s="55">
        <v>46234</v>
      </c>
      <c r="I38" s="21" t="s">
        <v>61</v>
      </c>
    </row>
    <row r="39" spans="1:9">
      <c r="A39" s="62">
        <v>665852</v>
      </c>
      <c r="B39" s="59">
        <v>615000</v>
      </c>
      <c r="C39" s="60">
        <v>7791337061507</v>
      </c>
      <c r="D39" s="57" t="s">
        <v>1643</v>
      </c>
      <c r="E39" s="57">
        <v>7800</v>
      </c>
      <c r="F39" s="58" t="s">
        <v>628</v>
      </c>
      <c r="G39" s="55">
        <v>46212</v>
      </c>
      <c r="H39" s="55">
        <v>46234</v>
      </c>
      <c r="I39" s="21" t="s">
        <v>61</v>
      </c>
    </row>
    <row r="40" spans="1:9">
      <c r="A40" s="62">
        <v>666875</v>
      </c>
      <c r="B40" s="59">
        <v>610001</v>
      </c>
      <c r="C40" s="60">
        <v>7791337010369</v>
      </c>
      <c r="D40" s="57" t="s">
        <v>1644</v>
      </c>
      <c r="E40" s="57">
        <v>1998</v>
      </c>
      <c r="F40" s="58" t="s">
        <v>628</v>
      </c>
      <c r="G40" s="55">
        <v>46212</v>
      </c>
      <c r="H40" s="55">
        <v>46234</v>
      </c>
      <c r="I40" s="21" t="s">
        <v>61</v>
      </c>
    </row>
    <row r="41" spans="1:9">
      <c r="A41" s="62">
        <v>666876</v>
      </c>
      <c r="B41" s="59">
        <v>610002</v>
      </c>
      <c r="C41" s="60">
        <v>7791337010215</v>
      </c>
      <c r="D41" s="57" t="s">
        <v>1645</v>
      </c>
      <c r="E41" s="57">
        <v>1998</v>
      </c>
      <c r="F41" s="58" t="s">
        <v>628</v>
      </c>
      <c r="G41" s="55">
        <v>46212</v>
      </c>
      <c r="H41" s="55">
        <v>46234</v>
      </c>
      <c r="I41" s="21" t="s">
        <v>61</v>
      </c>
    </row>
    <row r="42" spans="1:9">
      <c r="A42" s="62">
        <v>666877</v>
      </c>
      <c r="B42" s="59">
        <v>610003</v>
      </c>
      <c r="C42" s="60">
        <v>7791337010376</v>
      </c>
      <c r="D42" s="57" t="s">
        <v>1646</v>
      </c>
      <c r="E42" s="57">
        <v>1998</v>
      </c>
      <c r="F42" s="58" t="s">
        <v>628</v>
      </c>
      <c r="G42" s="55">
        <v>46212</v>
      </c>
      <c r="H42" s="55">
        <v>46234</v>
      </c>
      <c r="I42" s="21" t="s">
        <v>61</v>
      </c>
    </row>
    <row r="43" spans="1:9">
      <c r="A43" s="62">
        <v>666911</v>
      </c>
      <c r="B43" s="59">
        <v>610005</v>
      </c>
      <c r="C43" s="60">
        <v>7791337010468</v>
      </c>
      <c r="D43" s="57" t="s">
        <v>1647</v>
      </c>
      <c r="E43" s="57">
        <v>1998</v>
      </c>
      <c r="F43" s="58" t="s">
        <v>628</v>
      </c>
      <c r="G43" s="55">
        <v>46212</v>
      </c>
      <c r="H43" s="55">
        <v>46234</v>
      </c>
      <c r="I43" s="21" t="s">
        <v>61</v>
      </c>
    </row>
    <row r="44" spans="1:9">
      <c r="A44" s="62">
        <v>666913</v>
      </c>
      <c r="B44" s="59">
        <v>610004</v>
      </c>
      <c r="C44" s="60">
        <v>7791337010475</v>
      </c>
      <c r="D44" s="57" t="s">
        <v>1648</v>
      </c>
      <c r="E44" s="57">
        <v>1998</v>
      </c>
      <c r="F44" s="58" t="s">
        <v>628</v>
      </c>
      <c r="G44" s="55">
        <v>46212</v>
      </c>
      <c r="H44" s="55">
        <v>46234</v>
      </c>
      <c r="I44" s="21" t="s">
        <v>61</v>
      </c>
    </row>
    <row r="45" spans="1:9">
      <c r="A45" s="62">
        <v>658652</v>
      </c>
      <c r="B45" s="59">
        <v>138701</v>
      </c>
      <c r="C45" s="60">
        <v>7791337003606</v>
      </c>
      <c r="D45" s="57" t="s">
        <v>1649</v>
      </c>
      <c r="E45" s="57">
        <v>1950</v>
      </c>
      <c r="F45" s="58" t="s">
        <v>628</v>
      </c>
      <c r="G45" s="55">
        <v>46212</v>
      </c>
      <c r="H45" s="55">
        <v>46234</v>
      </c>
      <c r="I45" s="21" t="s">
        <v>61</v>
      </c>
    </row>
    <row r="46" spans="1:9">
      <c r="A46" s="62">
        <v>658653</v>
      </c>
      <c r="B46" s="59">
        <v>138702</v>
      </c>
      <c r="C46" s="60">
        <v>7791337001558</v>
      </c>
      <c r="D46" s="57" t="s">
        <v>1650</v>
      </c>
      <c r="E46" s="57">
        <v>1950</v>
      </c>
      <c r="F46" s="58" t="s">
        <v>628</v>
      </c>
      <c r="G46" s="55">
        <v>46212</v>
      </c>
      <c r="H46" s="55">
        <v>46234</v>
      </c>
      <c r="I46" s="21" t="s">
        <v>61</v>
      </c>
    </row>
    <row r="47" spans="1:9">
      <c r="A47" s="63">
        <v>657961</v>
      </c>
      <c r="B47" s="64">
        <v>8150</v>
      </c>
      <c r="C47" s="65" t="s">
        <v>1355</v>
      </c>
      <c r="D47" s="63" t="s">
        <v>1356</v>
      </c>
      <c r="E47" s="66">
        <v>923.00699999999995</v>
      </c>
      <c r="F47" s="2" t="s">
        <v>628</v>
      </c>
      <c r="G47" s="67">
        <v>46211</v>
      </c>
      <c r="H47" s="67">
        <v>46234</v>
      </c>
      <c r="I47" s="68" t="s">
        <v>58</v>
      </c>
    </row>
    <row r="48" spans="1:9">
      <c r="A48" s="63">
        <v>657960</v>
      </c>
      <c r="B48" s="64">
        <v>8153</v>
      </c>
      <c r="C48" s="65" t="s">
        <v>1357</v>
      </c>
      <c r="D48" s="63" t="s">
        <v>1358</v>
      </c>
      <c r="E48" s="66">
        <v>923.00699999999995</v>
      </c>
      <c r="F48" s="2" t="s">
        <v>628</v>
      </c>
      <c r="G48" s="67">
        <v>46211</v>
      </c>
      <c r="H48" s="67">
        <v>46234</v>
      </c>
      <c r="I48" s="68" t="s">
        <v>58</v>
      </c>
    </row>
    <row r="49" spans="1:9">
      <c r="A49" s="63">
        <v>19385</v>
      </c>
      <c r="B49" s="64">
        <v>8151</v>
      </c>
      <c r="C49" s="65" t="s">
        <v>1359</v>
      </c>
      <c r="D49" s="63" t="s">
        <v>1360</v>
      </c>
      <c r="E49" s="66">
        <v>923.00699999999995</v>
      </c>
      <c r="F49" s="2" t="s">
        <v>628</v>
      </c>
      <c r="G49" s="67">
        <v>46211</v>
      </c>
      <c r="H49" s="67">
        <v>46234</v>
      </c>
      <c r="I49" s="68" t="s">
        <v>58</v>
      </c>
    </row>
    <row r="50" spans="1:9">
      <c r="A50" s="63">
        <v>19384</v>
      </c>
      <c r="B50" s="64">
        <v>8155</v>
      </c>
      <c r="C50" s="65" t="s">
        <v>1361</v>
      </c>
      <c r="D50" s="63" t="s">
        <v>1362</v>
      </c>
      <c r="E50" s="66">
        <v>923.00699999999995</v>
      </c>
      <c r="F50" s="2" t="s">
        <v>628</v>
      </c>
      <c r="G50" s="67">
        <v>46211</v>
      </c>
      <c r="H50" s="67">
        <v>46234</v>
      </c>
      <c r="I50" s="68" t="s">
        <v>58</v>
      </c>
    </row>
    <row r="51" spans="1:9">
      <c r="A51" s="63">
        <v>10537</v>
      </c>
      <c r="B51" s="64">
        <v>8159</v>
      </c>
      <c r="C51" s="65" t="s">
        <v>1363</v>
      </c>
      <c r="D51" s="63" t="s">
        <v>1364</v>
      </c>
      <c r="E51" s="66">
        <v>923.00699999999995</v>
      </c>
      <c r="F51" s="2" t="s">
        <v>628</v>
      </c>
      <c r="G51" s="67">
        <v>46211</v>
      </c>
      <c r="H51" s="67">
        <v>46234</v>
      </c>
      <c r="I51" s="68" t="s">
        <v>58</v>
      </c>
    </row>
    <row r="52" spans="1:9">
      <c r="A52" s="63">
        <v>664021</v>
      </c>
      <c r="B52" s="64">
        <v>8223</v>
      </c>
      <c r="C52" s="65" t="s">
        <v>1365</v>
      </c>
      <c r="D52" s="63" t="s">
        <v>1366</v>
      </c>
      <c r="E52" s="66">
        <v>923.00699999999995</v>
      </c>
      <c r="F52" s="2" t="s">
        <v>628</v>
      </c>
      <c r="G52" s="67">
        <v>46211</v>
      </c>
      <c r="H52" s="67">
        <v>46234</v>
      </c>
      <c r="I52" s="68" t="s">
        <v>58</v>
      </c>
    </row>
    <row r="53" spans="1:9">
      <c r="A53" s="63">
        <v>664024</v>
      </c>
      <c r="B53" s="64">
        <v>8161</v>
      </c>
      <c r="C53" s="65" t="s">
        <v>1367</v>
      </c>
      <c r="D53" s="63" t="s">
        <v>1368</v>
      </c>
      <c r="E53" s="66">
        <v>923.00699999999995</v>
      </c>
      <c r="F53" s="2" t="s">
        <v>628</v>
      </c>
      <c r="G53" s="67">
        <v>46211</v>
      </c>
      <c r="H53" s="67">
        <v>46234</v>
      </c>
      <c r="I53" s="68" t="s">
        <v>58</v>
      </c>
    </row>
    <row r="54" spans="1:9">
      <c r="A54" s="63">
        <v>19386</v>
      </c>
      <c r="B54" s="64">
        <v>3140</v>
      </c>
      <c r="C54" s="65" t="s">
        <v>1369</v>
      </c>
      <c r="D54" s="63" t="s">
        <v>1370</v>
      </c>
      <c r="E54" s="66">
        <v>932.649</v>
      </c>
      <c r="F54" s="2" t="s">
        <v>628</v>
      </c>
      <c r="G54" s="67">
        <v>46211</v>
      </c>
      <c r="H54" s="67">
        <v>46234</v>
      </c>
      <c r="I54" s="68" t="s">
        <v>58</v>
      </c>
    </row>
    <row r="55" spans="1:9">
      <c r="A55" s="63">
        <v>18709</v>
      </c>
      <c r="B55" s="64">
        <v>3111</v>
      </c>
      <c r="C55" s="65" t="s">
        <v>1371</v>
      </c>
      <c r="D55" s="63" t="s">
        <v>1372</v>
      </c>
      <c r="E55" s="66">
        <v>932.649</v>
      </c>
      <c r="F55" s="2" t="s">
        <v>628</v>
      </c>
      <c r="G55" s="67">
        <v>46211</v>
      </c>
      <c r="H55" s="67">
        <v>46234</v>
      </c>
      <c r="I55" s="68" t="s">
        <v>58</v>
      </c>
    </row>
    <row r="56" spans="1:9">
      <c r="A56" s="63">
        <v>657924</v>
      </c>
      <c r="B56" s="64">
        <v>3115</v>
      </c>
      <c r="C56" s="65" t="s">
        <v>1373</v>
      </c>
      <c r="D56" s="63" t="s">
        <v>1374</v>
      </c>
      <c r="E56" s="66">
        <v>932.649</v>
      </c>
      <c r="F56" s="2" t="s">
        <v>628</v>
      </c>
      <c r="G56" s="67">
        <v>46211</v>
      </c>
      <c r="H56" s="67">
        <v>46234</v>
      </c>
      <c r="I56" s="68" t="s">
        <v>58</v>
      </c>
    </row>
    <row r="57" spans="1:9">
      <c r="A57" s="63">
        <v>101510</v>
      </c>
      <c r="B57" s="64">
        <v>3113</v>
      </c>
      <c r="C57" s="65" t="s">
        <v>1375</v>
      </c>
      <c r="D57" s="63" t="s">
        <v>1376</v>
      </c>
      <c r="E57" s="66">
        <v>932.649</v>
      </c>
      <c r="F57" s="2" t="s">
        <v>628</v>
      </c>
      <c r="G57" s="67">
        <v>46211</v>
      </c>
      <c r="H57" s="67">
        <v>46234</v>
      </c>
      <c r="I57" s="68" t="s">
        <v>58</v>
      </c>
    </row>
    <row r="58" spans="1:9">
      <c r="A58" s="63">
        <v>660947</v>
      </c>
      <c r="B58" s="64">
        <v>3137</v>
      </c>
      <c r="C58" s="65" t="s">
        <v>1377</v>
      </c>
      <c r="D58" s="63" t="s">
        <v>1378</v>
      </c>
      <c r="E58" s="66">
        <v>932.649</v>
      </c>
      <c r="F58" s="2" t="s">
        <v>628</v>
      </c>
      <c r="G58" s="67">
        <v>46211</v>
      </c>
      <c r="H58" s="67">
        <v>46234</v>
      </c>
      <c r="I58" s="68" t="s">
        <v>58</v>
      </c>
    </row>
    <row r="59" spans="1:9">
      <c r="A59" s="63">
        <v>7962</v>
      </c>
      <c r="B59" s="64">
        <v>5149</v>
      </c>
      <c r="C59" s="65" t="s">
        <v>1379</v>
      </c>
      <c r="D59" s="63" t="s">
        <v>1380</v>
      </c>
      <c r="E59" s="66">
        <v>1099.9960000000001</v>
      </c>
      <c r="F59" s="2" t="s">
        <v>628</v>
      </c>
      <c r="G59" s="67">
        <v>46211</v>
      </c>
      <c r="H59" s="67">
        <v>46234</v>
      </c>
      <c r="I59" s="68" t="s">
        <v>58</v>
      </c>
    </row>
    <row r="60" spans="1:9">
      <c r="A60" s="63">
        <v>293</v>
      </c>
      <c r="B60" s="64">
        <v>5153</v>
      </c>
      <c r="C60" s="65" t="s">
        <v>1381</v>
      </c>
      <c r="D60" s="63" t="s">
        <v>1382</v>
      </c>
      <c r="E60" s="66">
        <v>1750.008</v>
      </c>
      <c r="F60" s="2" t="s">
        <v>628</v>
      </c>
      <c r="G60" s="67">
        <v>46211</v>
      </c>
      <c r="H60" s="67">
        <v>46234</v>
      </c>
      <c r="I60" s="68" t="s">
        <v>58</v>
      </c>
    </row>
    <row r="61" spans="1:9">
      <c r="A61" s="71">
        <v>665043</v>
      </c>
      <c r="B61" s="72">
        <v>5395</v>
      </c>
      <c r="C61" s="73" t="s">
        <v>1383</v>
      </c>
      <c r="D61" s="71" t="s">
        <v>1384</v>
      </c>
      <c r="E61" s="74">
        <v>7333.51</v>
      </c>
      <c r="F61" s="75" t="s">
        <v>628</v>
      </c>
      <c r="G61" s="76">
        <v>46217</v>
      </c>
      <c r="H61" s="76">
        <v>46234</v>
      </c>
      <c r="I61" s="77" t="s">
        <v>58</v>
      </c>
    </row>
    <row r="62" spans="1:9">
      <c r="A62" s="71">
        <v>19924</v>
      </c>
      <c r="B62" s="72">
        <v>5390</v>
      </c>
      <c r="C62" s="73" t="s">
        <v>1385</v>
      </c>
      <c r="D62" s="71" t="s">
        <v>1386</v>
      </c>
      <c r="E62" s="74">
        <v>4763.567</v>
      </c>
      <c r="F62" s="75" t="s">
        <v>628</v>
      </c>
      <c r="G62" s="76">
        <v>46217</v>
      </c>
      <c r="H62" s="76">
        <v>46234</v>
      </c>
      <c r="I62" s="77" t="s">
        <v>58</v>
      </c>
    </row>
    <row r="63" spans="1:9">
      <c r="A63" s="71">
        <v>18789</v>
      </c>
      <c r="B63" s="72">
        <v>5172</v>
      </c>
      <c r="C63" s="73" t="s">
        <v>1387</v>
      </c>
      <c r="D63" s="71" t="s">
        <v>1388</v>
      </c>
      <c r="E63" s="74">
        <v>2186.6729999999998</v>
      </c>
      <c r="F63" s="75" t="s">
        <v>628</v>
      </c>
      <c r="G63" s="76">
        <v>46217</v>
      </c>
      <c r="H63" s="76">
        <v>46234</v>
      </c>
      <c r="I63" s="77" t="s">
        <v>58</v>
      </c>
    </row>
    <row r="64" spans="1:9">
      <c r="A64" s="71">
        <v>660430</v>
      </c>
      <c r="B64" s="72">
        <v>5264</v>
      </c>
      <c r="C64" s="73" t="s">
        <v>1389</v>
      </c>
      <c r="D64" s="71" t="s">
        <v>1390</v>
      </c>
      <c r="E64" s="74">
        <v>10684.05</v>
      </c>
      <c r="F64" s="75" t="s">
        <v>628</v>
      </c>
      <c r="G64" s="76">
        <v>46217</v>
      </c>
      <c r="H64" s="76">
        <v>46234</v>
      </c>
      <c r="I64" s="77" t="s">
        <v>58</v>
      </c>
    </row>
    <row r="65" spans="1:9">
      <c r="A65" s="71">
        <v>20636</v>
      </c>
      <c r="B65" s="72">
        <v>5274</v>
      </c>
      <c r="C65" s="73" t="s">
        <v>1391</v>
      </c>
      <c r="D65" s="71" t="s">
        <v>1392</v>
      </c>
      <c r="E65" s="74">
        <v>4879.5140000000001</v>
      </c>
      <c r="F65" s="75" t="s">
        <v>628</v>
      </c>
      <c r="G65" s="76">
        <v>46217</v>
      </c>
      <c r="H65" s="76">
        <v>46234</v>
      </c>
      <c r="I65" s="77" t="s">
        <v>58</v>
      </c>
    </row>
    <row r="66" spans="1:9">
      <c r="A66" s="63">
        <v>20641</v>
      </c>
      <c r="B66" s="64">
        <v>5252</v>
      </c>
      <c r="C66" s="65" t="s">
        <v>1393</v>
      </c>
      <c r="D66" s="63" t="s">
        <v>1394</v>
      </c>
      <c r="E66" s="66">
        <v>4674</v>
      </c>
      <c r="F66" s="2" t="s">
        <v>628</v>
      </c>
      <c r="G66" s="67">
        <v>46211</v>
      </c>
      <c r="H66" s="67">
        <v>46234</v>
      </c>
      <c r="I66" s="68" t="s">
        <v>58</v>
      </c>
    </row>
    <row r="67" spans="1:9">
      <c r="A67" s="63">
        <v>20637</v>
      </c>
      <c r="B67" s="64">
        <v>5275</v>
      </c>
      <c r="C67" s="65" t="s">
        <v>1395</v>
      </c>
      <c r="D67" s="63" t="s">
        <v>1396</v>
      </c>
      <c r="E67" s="66">
        <v>4879.5140000000001</v>
      </c>
      <c r="F67" s="2" t="s">
        <v>628</v>
      </c>
      <c r="G67" s="67">
        <v>46217</v>
      </c>
      <c r="H67" s="67">
        <v>46234</v>
      </c>
      <c r="I67" s="68" t="s">
        <v>58</v>
      </c>
    </row>
    <row r="68" spans="1:9">
      <c r="A68" s="63">
        <v>666927</v>
      </c>
      <c r="B68" s="64">
        <v>5309</v>
      </c>
      <c r="C68" s="65" t="s">
        <v>1397</v>
      </c>
      <c r="D68" s="63" t="s">
        <v>1398</v>
      </c>
      <c r="E68" s="66">
        <v>10625.27</v>
      </c>
      <c r="F68" s="2" t="s">
        <v>628</v>
      </c>
      <c r="G68" s="67">
        <v>46217</v>
      </c>
      <c r="H68" s="67">
        <v>46234</v>
      </c>
      <c r="I68" s="68" t="s">
        <v>58</v>
      </c>
    </row>
    <row r="69" spans="1:9">
      <c r="A69" s="63">
        <v>666926</v>
      </c>
      <c r="B69" s="64">
        <v>5308</v>
      </c>
      <c r="C69" s="65" t="s">
        <v>1399</v>
      </c>
      <c r="D69" s="63" t="s">
        <v>1400</v>
      </c>
      <c r="E69" s="66">
        <v>10625.27</v>
      </c>
      <c r="F69" s="2" t="s">
        <v>628</v>
      </c>
      <c r="G69" s="67">
        <v>46217</v>
      </c>
      <c r="H69" s="67">
        <v>46234</v>
      </c>
      <c r="I69" s="68" t="s">
        <v>58</v>
      </c>
    </row>
    <row r="70" spans="1:9">
      <c r="A70" s="63">
        <v>906</v>
      </c>
      <c r="B70" s="64">
        <v>5425</v>
      </c>
      <c r="C70" s="65" t="s">
        <v>1401</v>
      </c>
      <c r="D70" s="63" t="s">
        <v>1402</v>
      </c>
      <c r="E70" s="66">
        <v>30194.59</v>
      </c>
      <c r="F70" s="2" t="s">
        <v>628</v>
      </c>
      <c r="G70" s="67">
        <v>46217</v>
      </c>
      <c r="H70" s="67">
        <v>46234</v>
      </c>
      <c r="I70" s="68" t="s">
        <v>58</v>
      </c>
    </row>
    <row r="71" spans="1:9">
      <c r="A71" s="63">
        <v>660431</v>
      </c>
      <c r="B71" s="64">
        <v>5268</v>
      </c>
      <c r="C71" s="65" t="s">
        <v>1403</v>
      </c>
      <c r="D71" s="63" t="s">
        <v>1404</v>
      </c>
      <c r="E71" s="66">
        <v>10684.05</v>
      </c>
      <c r="F71" s="2" t="s">
        <v>628</v>
      </c>
      <c r="G71" s="67">
        <v>46217</v>
      </c>
      <c r="H71" s="67">
        <v>46234</v>
      </c>
      <c r="I71" s="68" t="s">
        <v>58</v>
      </c>
    </row>
    <row r="72" spans="1:9">
      <c r="A72" s="63">
        <v>660442</v>
      </c>
      <c r="B72" s="64">
        <v>5292</v>
      </c>
      <c r="C72" s="65" t="s">
        <v>1405</v>
      </c>
      <c r="D72" s="63" t="s">
        <v>1406</v>
      </c>
      <c r="E72" s="66">
        <v>4879.5140000000001</v>
      </c>
      <c r="F72" s="2" t="s">
        <v>628</v>
      </c>
      <c r="G72" s="67">
        <v>46217</v>
      </c>
      <c r="H72" s="67">
        <v>46234</v>
      </c>
      <c r="I72" s="68" t="s">
        <v>58</v>
      </c>
    </row>
    <row r="73" spans="1:9">
      <c r="A73" s="63">
        <v>7466</v>
      </c>
      <c r="B73" s="64">
        <v>5133</v>
      </c>
      <c r="C73" s="65" t="s">
        <v>1407</v>
      </c>
      <c r="D73" s="63" t="s">
        <v>1408</v>
      </c>
      <c r="E73" s="66">
        <v>30194.59</v>
      </c>
      <c r="F73" s="2" t="s">
        <v>628</v>
      </c>
      <c r="G73" s="67">
        <v>46217</v>
      </c>
      <c r="H73" s="67">
        <v>46234</v>
      </c>
      <c r="I73" s="68" t="s">
        <v>58</v>
      </c>
    </row>
    <row r="74" spans="1:9">
      <c r="A74" s="63">
        <v>18790</v>
      </c>
      <c r="B74" s="64">
        <v>5104</v>
      </c>
      <c r="C74" s="65" t="s">
        <v>1409</v>
      </c>
      <c r="D74" s="63" t="s">
        <v>1410</v>
      </c>
      <c r="E74" s="66">
        <v>2065.1889999999999</v>
      </c>
      <c r="F74" s="2" t="s">
        <v>628</v>
      </c>
      <c r="G74" s="67">
        <v>46217</v>
      </c>
      <c r="H74" s="67">
        <v>46234</v>
      </c>
      <c r="I74" s="68" t="s">
        <v>58</v>
      </c>
    </row>
    <row r="75" spans="1:9">
      <c r="A75" s="63">
        <v>19944</v>
      </c>
      <c r="B75" s="64">
        <v>5076</v>
      </c>
      <c r="C75" s="65" t="s">
        <v>1411</v>
      </c>
      <c r="D75" s="63" t="s">
        <v>1412</v>
      </c>
      <c r="E75" s="66">
        <v>1799.9960000000001</v>
      </c>
      <c r="F75" s="2" t="s">
        <v>628</v>
      </c>
      <c r="G75" s="67">
        <v>46217</v>
      </c>
      <c r="H75" s="67">
        <v>46234</v>
      </c>
      <c r="I75" s="68" t="s">
        <v>58</v>
      </c>
    </row>
    <row r="76" spans="1:9">
      <c r="A76" s="63">
        <v>20639</v>
      </c>
      <c r="B76" s="64">
        <v>5277</v>
      </c>
      <c r="C76" s="65" t="s">
        <v>1413</v>
      </c>
      <c r="D76" s="63" t="s">
        <v>1414</v>
      </c>
      <c r="E76" s="66">
        <v>1326.2370000000001</v>
      </c>
      <c r="F76" s="2" t="s">
        <v>628</v>
      </c>
      <c r="G76" s="67">
        <v>46217</v>
      </c>
      <c r="H76" s="67">
        <v>46234</v>
      </c>
      <c r="I76" s="68" t="s">
        <v>58</v>
      </c>
    </row>
    <row r="77" spans="1:9">
      <c r="A77" s="63">
        <v>660432</v>
      </c>
      <c r="B77" s="64">
        <v>5265</v>
      </c>
      <c r="C77" s="65" t="s">
        <v>1415</v>
      </c>
      <c r="D77" s="63" t="s">
        <v>1416</v>
      </c>
      <c r="E77" s="66">
        <v>10684.05</v>
      </c>
      <c r="F77" s="2" t="s">
        <v>628</v>
      </c>
      <c r="G77" s="67">
        <v>46217</v>
      </c>
      <c r="H77" s="67">
        <v>46234</v>
      </c>
      <c r="I77" s="68" t="s">
        <v>58</v>
      </c>
    </row>
    <row r="78" spans="1:9">
      <c r="A78" s="63">
        <v>660444</v>
      </c>
      <c r="B78" s="64">
        <v>5263</v>
      </c>
      <c r="C78" s="65" t="s">
        <v>1417</v>
      </c>
      <c r="D78" s="63" t="s">
        <v>1418</v>
      </c>
      <c r="E78" s="66">
        <v>26000</v>
      </c>
      <c r="F78" s="2" t="s">
        <v>628</v>
      </c>
      <c r="G78" s="67">
        <v>46217</v>
      </c>
      <c r="H78" s="67">
        <v>46234</v>
      </c>
      <c r="I78" s="68" t="s">
        <v>58</v>
      </c>
    </row>
    <row r="79" spans="1:9">
      <c r="A79" s="63">
        <v>725</v>
      </c>
      <c r="B79" s="64">
        <v>5286</v>
      </c>
      <c r="C79" s="65" t="s">
        <v>1419</v>
      </c>
      <c r="D79" s="63" t="s">
        <v>1420</v>
      </c>
      <c r="E79" s="66">
        <v>10064.86</v>
      </c>
      <c r="F79" s="2" t="s">
        <v>628</v>
      </c>
      <c r="G79" s="67">
        <v>46217</v>
      </c>
      <c r="H79" s="67">
        <v>46234</v>
      </c>
      <c r="I79" s="68" t="s">
        <v>58</v>
      </c>
    </row>
    <row r="80" spans="1:9">
      <c r="A80" s="63">
        <v>660926</v>
      </c>
      <c r="B80" s="63">
        <v>5278</v>
      </c>
      <c r="C80" s="65" t="s">
        <v>1421</v>
      </c>
      <c r="D80" s="63" t="s">
        <v>1422</v>
      </c>
      <c r="E80" s="66">
        <v>1199.991</v>
      </c>
      <c r="F80" s="2" t="s">
        <v>628</v>
      </c>
      <c r="G80" s="69">
        <v>46217</v>
      </c>
      <c r="H80" s="69">
        <v>46234</v>
      </c>
      <c r="I80" s="68" t="s">
        <v>58</v>
      </c>
    </row>
    <row r="81" spans="1:9">
      <c r="A81" s="63">
        <v>660446</v>
      </c>
      <c r="B81" s="63">
        <v>5262</v>
      </c>
      <c r="C81" s="65" t="s">
        <v>1423</v>
      </c>
      <c r="D81" s="63" t="s">
        <v>1424</v>
      </c>
      <c r="E81" s="66">
        <v>10684.05</v>
      </c>
      <c r="F81" s="2" t="s">
        <v>628</v>
      </c>
      <c r="G81" s="69">
        <v>46217</v>
      </c>
      <c r="H81" s="69">
        <v>46234</v>
      </c>
      <c r="I81" s="68" t="s">
        <v>58</v>
      </c>
    </row>
    <row r="82" spans="1:9">
      <c r="A82" s="63">
        <v>664667</v>
      </c>
      <c r="B82" s="63">
        <v>5420</v>
      </c>
      <c r="C82" s="65" t="s">
        <v>1425</v>
      </c>
      <c r="D82" s="63" t="s">
        <v>1426</v>
      </c>
      <c r="E82" s="66">
        <v>30194.59</v>
      </c>
      <c r="F82" s="2" t="s">
        <v>628</v>
      </c>
      <c r="G82" s="69">
        <v>46217</v>
      </c>
      <c r="H82" s="69">
        <v>46234</v>
      </c>
      <c r="I82" s="68" t="s">
        <v>58</v>
      </c>
    </row>
    <row r="83" spans="1:9">
      <c r="A83" s="63">
        <v>665427</v>
      </c>
      <c r="B83" s="63">
        <v>5186</v>
      </c>
      <c r="C83" s="65" t="s">
        <v>1427</v>
      </c>
      <c r="D83" s="63" t="s">
        <v>1428</v>
      </c>
      <c r="E83" s="66">
        <v>20413.78</v>
      </c>
      <c r="F83" s="2" t="s">
        <v>628</v>
      </c>
      <c r="G83" s="69">
        <v>46217</v>
      </c>
      <c r="H83" s="69">
        <v>46234</v>
      </c>
      <c r="I83" s="68" t="s">
        <v>58</v>
      </c>
    </row>
    <row r="84" spans="1:9">
      <c r="A84" s="63">
        <v>8490</v>
      </c>
      <c r="B84" s="63">
        <v>5143</v>
      </c>
      <c r="C84" s="65" t="s">
        <v>1429</v>
      </c>
      <c r="D84" s="63" t="s">
        <v>1430</v>
      </c>
      <c r="E84" s="66">
        <v>1649.9949999999999</v>
      </c>
      <c r="F84" s="2" t="s">
        <v>628</v>
      </c>
      <c r="G84" s="69">
        <v>46211</v>
      </c>
      <c r="H84" s="69">
        <v>46234</v>
      </c>
      <c r="I84" s="68" t="s">
        <v>58</v>
      </c>
    </row>
    <row r="85" spans="1:9">
      <c r="A85" s="63">
        <v>662114</v>
      </c>
      <c r="B85" s="63">
        <v>5405</v>
      </c>
      <c r="C85" s="65" t="s">
        <v>1431</v>
      </c>
      <c r="D85" s="63" t="s">
        <v>1432</v>
      </c>
      <c r="E85" s="66">
        <v>1649.9949999999999</v>
      </c>
      <c r="F85" s="2" t="s">
        <v>628</v>
      </c>
      <c r="G85" s="69">
        <v>46211</v>
      </c>
      <c r="H85" s="69">
        <v>46234</v>
      </c>
      <c r="I85" s="68" t="s">
        <v>58</v>
      </c>
    </row>
    <row r="86" spans="1:9">
      <c r="A86" s="63">
        <v>18794</v>
      </c>
      <c r="B86" s="63">
        <v>5258</v>
      </c>
      <c r="C86" s="65" t="s">
        <v>1433</v>
      </c>
      <c r="D86" s="63" t="s">
        <v>1434</v>
      </c>
      <c r="E86" s="66">
        <v>5300</v>
      </c>
      <c r="F86" s="2" t="s">
        <v>628</v>
      </c>
      <c r="G86" s="69">
        <v>46211</v>
      </c>
      <c r="H86" s="69">
        <v>46234</v>
      </c>
      <c r="I86" s="68" t="s">
        <v>58</v>
      </c>
    </row>
    <row r="87" spans="1:9">
      <c r="A87" s="63">
        <v>101705</v>
      </c>
      <c r="B87" s="63">
        <v>5375</v>
      </c>
      <c r="C87" s="65" t="s">
        <v>1435</v>
      </c>
      <c r="D87" s="63" t="s">
        <v>1436</v>
      </c>
      <c r="E87" s="66">
        <v>9431.1460000000006</v>
      </c>
      <c r="F87" s="2" t="s">
        <v>628</v>
      </c>
      <c r="G87" s="69">
        <v>46217</v>
      </c>
      <c r="H87" s="69">
        <v>46234</v>
      </c>
      <c r="I87" s="68" t="s">
        <v>58</v>
      </c>
    </row>
    <row r="88" spans="1:9">
      <c r="A88" s="63">
        <v>5925</v>
      </c>
      <c r="B88" s="63">
        <v>5204</v>
      </c>
      <c r="C88" s="65" t="s">
        <v>1437</v>
      </c>
      <c r="D88" s="63" t="s">
        <v>1438</v>
      </c>
      <c r="E88" s="66">
        <v>1238.808</v>
      </c>
      <c r="F88" s="2" t="s">
        <v>628</v>
      </c>
      <c r="G88" s="69">
        <v>46217</v>
      </c>
      <c r="H88" s="69">
        <v>46234</v>
      </c>
      <c r="I88" s="68" t="s">
        <v>58</v>
      </c>
    </row>
    <row r="89" spans="1:9">
      <c r="A89" s="63">
        <v>7077</v>
      </c>
      <c r="B89" s="63">
        <v>5229</v>
      </c>
      <c r="C89" s="65" t="s">
        <v>1439</v>
      </c>
      <c r="D89" s="63" t="s">
        <v>1440</v>
      </c>
      <c r="E89" s="66">
        <v>900.00800000000004</v>
      </c>
      <c r="F89" s="2" t="s">
        <v>628</v>
      </c>
      <c r="G89" s="69">
        <v>46211</v>
      </c>
      <c r="H89" s="69">
        <v>46234</v>
      </c>
      <c r="I89" s="68" t="s">
        <v>58</v>
      </c>
    </row>
    <row r="90" spans="1:9">
      <c r="A90" s="63">
        <v>101695</v>
      </c>
      <c r="B90" s="63">
        <v>5161</v>
      </c>
      <c r="C90" s="65" t="s">
        <v>1441</v>
      </c>
      <c r="D90" s="63" t="s">
        <v>1442</v>
      </c>
      <c r="E90" s="66">
        <v>12491.85</v>
      </c>
      <c r="F90" s="2" t="s">
        <v>628</v>
      </c>
      <c r="G90" s="69">
        <v>46217</v>
      </c>
      <c r="H90" s="69">
        <v>46234</v>
      </c>
      <c r="I90" s="68" t="s">
        <v>58</v>
      </c>
    </row>
    <row r="91" spans="1:9">
      <c r="A91" s="22"/>
      <c r="B91" s="22"/>
      <c r="C91" s="23"/>
      <c r="D91" s="22"/>
      <c r="E91" s="24"/>
      <c r="F91" s="25"/>
      <c r="G91" s="26"/>
      <c r="H91" s="26"/>
      <c r="I91" s="30"/>
    </row>
    <row r="92" spans="1:9">
      <c r="A92" s="22"/>
      <c r="B92" s="22"/>
      <c r="C92" s="23"/>
      <c r="D92" s="22"/>
      <c r="E92" s="24"/>
      <c r="F92" s="25"/>
      <c r="G92" s="26"/>
      <c r="H92" s="26"/>
      <c r="I92" s="30"/>
    </row>
    <row r="93" spans="1:9">
      <c r="A93" s="22"/>
      <c r="B93" s="22"/>
      <c r="C93" s="23"/>
      <c r="D93" s="22"/>
      <c r="E93" s="24"/>
      <c r="F93" s="25"/>
      <c r="G93" s="26"/>
      <c r="H93" s="26"/>
      <c r="I93" s="30"/>
    </row>
    <row r="94" spans="1:9">
      <c r="A94" s="33"/>
      <c r="B94" s="33"/>
      <c r="C94" s="34"/>
      <c r="D94" s="33"/>
      <c r="E94" s="35"/>
      <c r="F94" s="36"/>
      <c r="G94" s="37"/>
      <c r="H94" s="37"/>
      <c r="I94" s="38"/>
    </row>
    <row r="95" spans="1:9">
      <c r="A95" s="33"/>
      <c r="B95" s="33"/>
      <c r="C95" s="34"/>
      <c r="D95" s="33"/>
      <c r="E95" s="35"/>
      <c r="F95" s="36"/>
      <c r="G95" s="37"/>
      <c r="H95" s="37"/>
      <c r="I95" s="38"/>
    </row>
    <row r="96" spans="1:9">
      <c r="A96" s="33"/>
      <c r="B96" s="33"/>
      <c r="C96" s="34"/>
      <c r="D96" s="33"/>
      <c r="E96" s="35"/>
      <c r="F96" s="36"/>
      <c r="G96" s="37"/>
      <c r="H96" s="37"/>
      <c r="I96" s="38"/>
    </row>
    <row r="97" spans="1:9">
      <c r="A97" s="33"/>
      <c r="B97" s="33"/>
      <c r="C97" s="34"/>
      <c r="D97" s="33"/>
      <c r="E97" s="35"/>
      <c r="F97" s="36"/>
      <c r="G97" s="37"/>
      <c r="H97" s="37"/>
      <c r="I97" s="38"/>
    </row>
    <row r="98" spans="1:9">
      <c r="A98" s="33"/>
      <c r="B98" s="33"/>
      <c r="C98" s="34"/>
      <c r="D98" s="33"/>
      <c r="E98" s="35"/>
      <c r="F98" s="36"/>
      <c r="G98" s="37"/>
      <c r="H98" s="37"/>
      <c r="I98" s="38"/>
    </row>
    <row r="99" spans="1:9">
      <c r="A99" s="33"/>
      <c r="B99" s="33"/>
      <c r="C99" s="34"/>
      <c r="D99" s="33"/>
      <c r="E99" s="35"/>
      <c r="F99" s="36"/>
      <c r="G99" s="37"/>
      <c r="H99" s="37"/>
      <c r="I99" s="38"/>
    </row>
    <row r="100" spans="1:9">
      <c r="A100" s="33"/>
      <c r="B100" s="33"/>
      <c r="C100" s="34"/>
      <c r="D100" s="33"/>
      <c r="E100" s="35"/>
      <c r="F100" s="36"/>
      <c r="G100" s="37"/>
      <c r="H100" s="37"/>
      <c r="I100" s="38"/>
    </row>
    <row r="101" spans="1:9">
      <c r="A101" s="33"/>
      <c r="B101" s="33"/>
      <c r="C101" s="34"/>
      <c r="D101" s="33"/>
      <c r="E101" s="35"/>
      <c r="F101" s="36"/>
      <c r="G101" s="37"/>
      <c r="H101" s="37"/>
      <c r="I101" s="38"/>
    </row>
    <row r="102" spans="1:9">
      <c r="A102" s="33"/>
      <c r="B102" s="33"/>
      <c r="C102" s="34"/>
      <c r="D102" s="33"/>
      <c r="E102" s="35"/>
      <c r="F102" s="36"/>
      <c r="G102" s="37"/>
      <c r="H102" s="37"/>
      <c r="I102" s="38"/>
    </row>
    <row r="103" spans="1:9">
      <c r="A103" s="33"/>
      <c r="B103" s="33"/>
      <c r="C103" s="34"/>
      <c r="D103" s="33"/>
      <c r="E103" s="35"/>
      <c r="F103" s="36"/>
      <c r="G103" s="37"/>
      <c r="H103" s="37"/>
      <c r="I103" s="38"/>
    </row>
    <row r="104" spans="1:9">
      <c r="A104" s="33"/>
      <c r="B104" s="33"/>
      <c r="C104" s="34"/>
      <c r="D104" s="33"/>
      <c r="E104" s="35"/>
      <c r="F104" s="36"/>
      <c r="G104" s="37"/>
      <c r="H104" s="37"/>
      <c r="I104" s="38"/>
    </row>
    <row r="105" spans="1:9">
      <c r="A105" s="33"/>
      <c r="B105" s="33"/>
      <c r="C105" s="34"/>
      <c r="D105" s="33"/>
      <c r="E105" s="35"/>
      <c r="F105" s="36"/>
      <c r="G105" s="37"/>
      <c r="H105" s="37"/>
      <c r="I105" s="38"/>
    </row>
    <row r="106" spans="1:9">
      <c r="A106" s="33"/>
      <c r="B106" s="33"/>
      <c r="C106" s="34"/>
      <c r="D106" s="33"/>
      <c r="E106" s="35"/>
      <c r="F106" s="36"/>
      <c r="G106" s="37"/>
      <c r="H106" s="37"/>
      <c r="I106" s="38"/>
    </row>
    <row r="107" spans="1:9">
      <c r="A107" s="33"/>
      <c r="B107" s="33"/>
      <c r="C107" s="34"/>
      <c r="D107" s="33"/>
      <c r="E107" s="35"/>
      <c r="F107" s="36"/>
      <c r="G107" s="37"/>
      <c r="H107" s="37"/>
      <c r="I107" s="38"/>
    </row>
    <row r="108" spans="1:9">
      <c r="A108" s="33"/>
      <c r="B108" s="33"/>
      <c r="C108" s="34"/>
      <c r="D108" s="33"/>
      <c r="E108" s="35"/>
      <c r="F108" s="36"/>
      <c r="G108" s="37"/>
      <c r="H108" s="37"/>
      <c r="I108" s="38"/>
    </row>
    <row r="109" spans="1:9">
      <c r="A109" s="33"/>
      <c r="B109" s="33"/>
      <c r="C109" s="34"/>
      <c r="D109" s="33"/>
      <c r="E109" s="35"/>
      <c r="F109" s="36"/>
      <c r="G109" s="37"/>
      <c r="H109" s="37"/>
      <c r="I109" s="38"/>
    </row>
    <row r="110" spans="1:9">
      <c r="A110" s="33"/>
      <c r="B110" s="33"/>
      <c r="C110" s="34"/>
      <c r="D110" s="33"/>
      <c r="E110" s="35"/>
      <c r="F110" s="36"/>
      <c r="G110" s="37"/>
      <c r="H110" s="37"/>
      <c r="I110" s="38"/>
    </row>
    <row r="172" spans="1:22">
      <c r="A172" s="138"/>
      <c r="B172" s="139"/>
      <c r="C172" s="138"/>
      <c r="D172" s="138"/>
      <c r="E172" s="138"/>
      <c r="F172" s="138"/>
      <c r="G172" s="139"/>
      <c r="H172" s="139"/>
      <c r="I172" s="138"/>
      <c r="J172" s="138"/>
      <c r="K172" s="138"/>
      <c r="L172" s="138"/>
      <c r="M172" s="139"/>
      <c r="N172" s="138"/>
      <c r="O172" s="138"/>
      <c r="P172" s="138"/>
      <c r="Q172" s="138"/>
      <c r="R172" s="138"/>
      <c r="S172" s="138"/>
      <c r="T172" s="138"/>
      <c r="U172" s="138"/>
      <c r="V172" s="138"/>
    </row>
    <row r="173" spans="1:22">
      <c r="A173" s="138"/>
      <c r="B173" s="139"/>
      <c r="C173" s="138"/>
      <c r="D173" s="138"/>
      <c r="E173" s="138"/>
      <c r="F173" s="138"/>
      <c r="G173" s="139"/>
      <c r="H173" s="139"/>
      <c r="I173" s="138"/>
      <c r="J173" s="138"/>
      <c r="K173" s="138"/>
      <c r="L173" s="138"/>
      <c r="M173" s="139"/>
      <c r="N173" s="138"/>
      <c r="O173" s="138"/>
      <c r="P173" s="138"/>
      <c r="Q173" s="138"/>
      <c r="R173" s="138"/>
      <c r="S173" s="138"/>
      <c r="T173" s="138"/>
      <c r="U173" s="138"/>
      <c r="V173" s="138"/>
    </row>
    <row r="174" spans="1:22">
      <c r="A174" s="138"/>
      <c r="B174" s="139"/>
      <c r="C174" s="138"/>
      <c r="D174" s="138"/>
      <c r="E174" s="138"/>
      <c r="F174" s="138"/>
      <c r="G174" s="139"/>
      <c r="H174" s="139"/>
      <c r="I174" s="138"/>
      <c r="J174" s="138"/>
      <c r="K174" s="138"/>
      <c r="L174" s="138"/>
      <c r="M174" s="139"/>
      <c r="N174" s="138"/>
      <c r="O174" s="138"/>
      <c r="P174" s="138"/>
      <c r="Q174" s="138"/>
      <c r="R174" s="138"/>
      <c r="S174" s="138"/>
      <c r="T174" s="138"/>
      <c r="U174" s="138"/>
      <c r="V174" s="138"/>
    </row>
    <row r="175" spans="1:22">
      <c r="A175" s="138"/>
      <c r="B175" s="139"/>
      <c r="C175" s="138"/>
      <c r="D175" s="138"/>
      <c r="E175" s="138"/>
      <c r="F175" s="138"/>
      <c r="G175" s="139"/>
      <c r="H175" s="139"/>
      <c r="I175" s="138"/>
      <c r="J175" s="138"/>
      <c r="K175" s="138"/>
      <c r="L175" s="138"/>
      <c r="M175" s="139"/>
      <c r="N175" s="138"/>
      <c r="O175" s="138"/>
      <c r="P175" s="138"/>
      <c r="Q175" s="138"/>
      <c r="R175" s="138"/>
      <c r="S175" s="138"/>
      <c r="T175" s="138"/>
      <c r="U175" s="138"/>
      <c r="V175" s="138"/>
    </row>
    <row r="176" spans="1:22">
      <c r="A176" s="138"/>
      <c r="B176" s="139"/>
      <c r="C176" s="138"/>
      <c r="D176" s="138"/>
      <c r="E176" s="138"/>
      <c r="F176" s="138"/>
      <c r="G176" s="139"/>
      <c r="H176" s="139"/>
      <c r="I176" s="138"/>
      <c r="J176" s="138"/>
      <c r="K176" s="138"/>
      <c r="L176" s="138"/>
      <c r="M176" s="139"/>
      <c r="N176" s="138"/>
      <c r="O176" s="138"/>
      <c r="P176" s="138"/>
      <c r="Q176" s="138"/>
      <c r="R176" s="138"/>
      <c r="S176" s="138"/>
      <c r="T176" s="138"/>
      <c r="U176" s="138"/>
      <c r="V176" s="138"/>
    </row>
    <row r="177" spans="1:22">
      <c r="A177" s="138"/>
      <c r="B177" s="139"/>
      <c r="C177" s="138"/>
      <c r="D177" s="138"/>
      <c r="E177" s="138"/>
      <c r="F177" s="138"/>
      <c r="G177" s="139"/>
      <c r="H177" s="139"/>
      <c r="I177" s="138"/>
      <c r="J177" s="138"/>
      <c r="K177" s="138"/>
      <c r="L177" s="138"/>
      <c r="M177" s="139"/>
      <c r="N177" s="138"/>
      <c r="O177" s="138"/>
      <c r="P177" s="138"/>
      <c r="Q177" s="138"/>
      <c r="R177" s="138"/>
      <c r="S177" s="138"/>
      <c r="T177" s="138"/>
      <c r="U177" s="138"/>
      <c r="V177" s="138"/>
    </row>
    <row r="178" spans="1:22">
      <c r="A178" s="138"/>
      <c r="B178" s="139"/>
      <c r="C178" s="138"/>
      <c r="D178" s="138"/>
      <c r="E178" s="138"/>
      <c r="F178" s="138"/>
      <c r="G178" s="139"/>
      <c r="H178" s="139"/>
      <c r="I178" s="138"/>
      <c r="J178" s="138"/>
      <c r="K178" s="138"/>
      <c r="L178" s="138"/>
      <c r="M178" s="139"/>
      <c r="N178" s="138"/>
      <c r="O178" s="138"/>
      <c r="P178" s="138"/>
      <c r="Q178" s="138"/>
      <c r="R178" s="138"/>
      <c r="S178" s="138"/>
      <c r="T178" s="138"/>
      <c r="U178" s="138"/>
      <c r="V178" s="138"/>
    </row>
    <row r="179" spans="1:22">
      <c r="A179" s="138"/>
      <c r="B179" s="139"/>
      <c r="C179" s="138"/>
      <c r="D179" s="138"/>
      <c r="E179" s="138"/>
      <c r="F179" s="138"/>
      <c r="G179" s="139"/>
      <c r="H179" s="139"/>
      <c r="I179" s="138"/>
      <c r="J179" s="138"/>
      <c r="K179" s="138"/>
      <c r="L179" s="138"/>
      <c r="M179" s="139"/>
      <c r="N179" s="138"/>
      <c r="O179" s="138"/>
      <c r="P179" s="138"/>
      <c r="Q179" s="138"/>
      <c r="R179" s="138"/>
      <c r="S179" s="138"/>
      <c r="T179" s="138"/>
      <c r="U179" s="138"/>
      <c r="V179" s="138"/>
    </row>
    <row r="180" spans="1:22">
      <c r="A180" s="138"/>
      <c r="B180" s="139"/>
      <c r="C180" s="138"/>
      <c r="D180" s="138"/>
      <c r="E180" s="138"/>
      <c r="F180" s="138"/>
      <c r="G180" s="139"/>
      <c r="H180" s="139"/>
      <c r="I180" s="138"/>
      <c r="J180" s="138"/>
      <c r="K180" s="138"/>
      <c r="L180" s="138"/>
      <c r="M180" s="139"/>
      <c r="N180" s="138"/>
      <c r="O180" s="138"/>
      <c r="P180" s="138"/>
      <c r="Q180" s="138"/>
      <c r="R180" s="138"/>
      <c r="S180" s="138"/>
      <c r="T180" s="138"/>
      <c r="U180" s="138"/>
      <c r="V180" s="138"/>
    </row>
    <row r="181" spans="1:22">
      <c r="A181" s="138"/>
      <c r="B181" s="139"/>
      <c r="C181" s="138"/>
      <c r="D181" s="138"/>
      <c r="E181" s="138"/>
      <c r="F181" s="138"/>
      <c r="G181" s="139"/>
      <c r="H181" s="139"/>
      <c r="I181" s="138"/>
      <c r="J181" s="138"/>
      <c r="K181" s="138"/>
      <c r="L181" s="138"/>
      <c r="M181" s="139"/>
      <c r="N181" s="138"/>
      <c r="O181" s="138"/>
      <c r="P181" s="138"/>
      <c r="Q181" s="138"/>
      <c r="R181" s="138"/>
      <c r="S181" s="138"/>
      <c r="T181" s="138"/>
      <c r="U181" s="138"/>
      <c r="V181" s="138"/>
    </row>
    <row r="182" spans="1:22">
      <c r="A182" s="138"/>
      <c r="B182" s="139"/>
      <c r="C182" s="138"/>
      <c r="D182" s="138"/>
      <c r="E182" s="138"/>
      <c r="F182" s="138"/>
      <c r="G182" s="139"/>
      <c r="H182" s="139"/>
      <c r="I182" s="138"/>
      <c r="J182" s="138"/>
      <c r="K182" s="138"/>
      <c r="L182" s="138"/>
      <c r="M182" s="139"/>
      <c r="N182" s="138"/>
      <c r="O182" s="138"/>
      <c r="P182" s="138"/>
      <c r="Q182" s="138"/>
      <c r="R182" s="138"/>
      <c r="S182" s="138"/>
      <c r="T182" s="138"/>
      <c r="U182" s="138"/>
      <c r="V182" s="138"/>
    </row>
    <row r="183" spans="1:22">
      <c r="A183" s="138"/>
      <c r="B183" s="139"/>
      <c r="C183" s="138"/>
      <c r="D183" s="138"/>
      <c r="E183" s="138"/>
      <c r="F183" s="138"/>
      <c r="G183" s="139"/>
      <c r="H183" s="139"/>
      <c r="I183" s="138"/>
      <c r="J183" s="138"/>
      <c r="K183" s="138"/>
      <c r="L183" s="138"/>
      <c r="M183" s="139"/>
      <c r="N183" s="138"/>
      <c r="O183" s="138"/>
      <c r="P183" s="138"/>
      <c r="Q183" s="138"/>
      <c r="R183" s="138"/>
      <c r="S183" s="138"/>
      <c r="T183" s="138"/>
      <c r="U183" s="138"/>
      <c r="V183" s="138"/>
    </row>
    <row r="184" spans="1:22">
      <c r="A184" s="138"/>
      <c r="B184" s="139"/>
      <c r="C184" s="138"/>
      <c r="D184" s="138"/>
      <c r="E184" s="138"/>
      <c r="F184" s="138"/>
      <c r="G184" s="139"/>
      <c r="H184" s="139"/>
      <c r="I184" s="138"/>
      <c r="J184" s="138"/>
      <c r="K184" s="138"/>
      <c r="L184" s="138"/>
      <c r="M184" s="139"/>
      <c r="N184" s="138"/>
      <c r="O184" s="138"/>
      <c r="P184" s="138"/>
      <c r="Q184" s="138"/>
      <c r="R184" s="138"/>
      <c r="S184" s="138"/>
      <c r="T184" s="138"/>
      <c r="U184" s="138"/>
      <c r="V184" s="138"/>
    </row>
    <row r="185" spans="1:22">
      <c r="A185" s="138"/>
      <c r="B185" s="139"/>
      <c r="C185" s="138"/>
      <c r="D185" s="138"/>
      <c r="E185" s="138"/>
      <c r="F185" s="138"/>
      <c r="G185" s="139"/>
      <c r="H185" s="139"/>
      <c r="I185" s="138"/>
      <c r="J185" s="138"/>
      <c r="K185" s="138"/>
      <c r="L185" s="138"/>
      <c r="M185" s="139"/>
      <c r="N185" s="138"/>
      <c r="O185" s="138"/>
      <c r="P185" s="138"/>
      <c r="Q185" s="138"/>
      <c r="R185" s="138"/>
      <c r="S185" s="138"/>
      <c r="T185" s="138"/>
      <c r="U185" s="138"/>
      <c r="V185" s="138"/>
    </row>
    <row r="186" spans="1:22">
      <c r="A186" s="138"/>
      <c r="B186" s="139"/>
      <c r="C186" s="138"/>
      <c r="D186" s="138"/>
      <c r="E186" s="138"/>
      <c r="F186" s="138"/>
      <c r="G186" s="139"/>
      <c r="H186" s="139"/>
      <c r="I186" s="138"/>
      <c r="J186" s="138"/>
      <c r="K186" s="138"/>
      <c r="L186" s="138"/>
      <c r="M186" s="139"/>
      <c r="N186" s="138"/>
      <c r="O186" s="138"/>
      <c r="P186" s="138"/>
      <c r="Q186" s="138"/>
      <c r="R186" s="138"/>
      <c r="S186" s="138"/>
      <c r="T186" s="138"/>
      <c r="U186" s="138"/>
      <c r="V186" s="138"/>
    </row>
    <row r="187" spans="1:22">
      <c r="A187" s="138"/>
      <c r="B187" s="139"/>
      <c r="C187" s="138"/>
      <c r="D187" s="138"/>
      <c r="E187" s="138"/>
      <c r="F187" s="138"/>
      <c r="G187" s="139"/>
      <c r="H187" s="139"/>
      <c r="I187" s="138"/>
      <c r="J187" s="138"/>
      <c r="K187" s="138"/>
      <c r="L187" s="138"/>
      <c r="M187" s="139"/>
      <c r="N187" s="138"/>
      <c r="O187" s="138"/>
      <c r="P187" s="138"/>
      <c r="Q187" s="138"/>
      <c r="R187" s="138"/>
      <c r="S187" s="138"/>
      <c r="T187" s="138"/>
      <c r="U187" s="138"/>
      <c r="V187" s="138"/>
    </row>
    <row r="188" spans="1:22">
      <c r="A188" s="138"/>
      <c r="B188" s="139"/>
      <c r="C188" s="138"/>
      <c r="D188" s="138"/>
      <c r="E188" s="138"/>
      <c r="F188" s="138"/>
      <c r="G188" s="139"/>
      <c r="H188" s="139"/>
      <c r="I188" s="138"/>
      <c r="J188" s="138"/>
      <c r="K188" s="138"/>
      <c r="L188" s="138"/>
      <c r="M188" s="139"/>
      <c r="N188" s="138"/>
      <c r="O188" s="138"/>
      <c r="P188" s="138"/>
      <c r="Q188" s="138"/>
      <c r="R188" s="138"/>
      <c r="S188" s="138"/>
      <c r="T188" s="138"/>
      <c r="U188" s="138"/>
      <c r="V188" s="138"/>
    </row>
    <row r="189" spans="1:22">
      <c r="A189" s="138"/>
      <c r="B189" s="139"/>
      <c r="C189" s="138"/>
      <c r="D189" s="138"/>
      <c r="E189" s="138"/>
      <c r="F189" s="138"/>
      <c r="G189" s="139"/>
      <c r="H189" s="139"/>
      <c r="I189" s="138"/>
      <c r="J189" s="138"/>
      <c r="K189" s="138"/>
      <c r="L189" s="138"/>
      <c r="M189" s="139"/>
      <c r="N189" s="138"/>
      <c r="O189" s="138"/>
      <c r="P189" s="138"/>
      <c r="Q189" s="138"/>
      <c r="R189" s="138"/>
      <c r="S189" s="138"/>
      <c r="T189" s="138"/>
      <c r="U189" s="138"/>
      <c r="V189" s="138"/>
    </row>
    <row r="190" spans="1:22">
      <c r="A190" s="138"/>
      <c r="B190" s="139"/>
      <c r="C190" s="138"/>
      <c r="D190" s="138"/>
      <c r="E190" s="138"/>
      <c r="F190" s="138"/>
      <c r="G190" s="139"/>
      <c r="H190" s="139"/>
      <c r="I190" s="138"/>
      <c r="J190" s="138"/>
      <c r="K190" s="138"/>
      <c r="L190" s="138"/>
      <c r="M190" s="139"/>
      <c r="N190" s="138"/>
      <c r="O190" s="138"/>
      <c r="P190" s="138"/>
      <c r="Q190" s="138"/>
      <c r="R190" s="138"/>
      <c r="S190" s="138"/>
      <c r="T190" s="138"/>
      <c r="U190" s="138"/>
      <c r="V190" s="138"/>
    </row>
    <row r="191" spans="1:22">
      <c r="A191" s="138"/>
      <c r="B191" s="139"/>
      <c r="C191" s="138"/>
      <c r="D191" s="138"/>
      <c r="E191" s="138"/>
      <c r="F191" s="138"/>
      <c r="G191" s="139"/>
      <c r="H191" s="139"/>
      <c r="I191" s="138"/>
      <c r="J191" s="138"/>
      <c r="K191" s="138"/>
      <c r="L191" s="138"/>
      <c r="M191" s="139"/>
      <c r="N191" s="138"/>
      <c r="O191" s="138"/>
      <c r="P191" s="138"/>
      <c r="Q191" s="138"/>
      <c r="R191" s="138"/>
      <c r="S191" s="138"/>
      <c r="T191" s="138"/>
      <c r="U191" s="138"/>
      <c r="V191" s="138"/>
    </row>
    <row r="192" spans="1:22">
      <c r="A192" s="138"/>
      <c r="B192" s="139"/>
      <c r="C192" s="138"/>
      <c r="D192" s="138"/>
      <c r="E192" s="138"/>
      <c r="F192" s="138"/>
      <c r="G192" s="139"/>
      <c r="H192" s="139"/>
      <c r="I192" s="138"/>
      <c r="J192" s="138"/>
      <c r="K192" s="138"/>
      <c r="L192" s="138"/>
      <c r="M192" s="139"/>
      <c r="N192" s="138"/>
      <c r="O192" s="138"/>
      <c r="P192" s="138"/>
      <c r="Q192" s="138"/>
      <c r="R192" s="138"/>
      <c r="S192" s="138"/>
      <c r="T192" s="138"/>
      <c r="U192" s="138"/>
      <c r="V192" s="138"/>
    </row>
    <row r="193" spans="1:22">
      <c r="A193" s="138"/>
      <c r="B193" s="139"/>
      <c r="C193" s="138"/>
      <c r="D193" s="138"/>
      <c r="E193" s="138"/>
      <c r="F193" s="138"/>
      <c r="G193" s="139"/>
      <c r="H193" s="139"/>
      <c r="I193" s="138"/>
      <c r="J193" s="138"/>
      <c r="K193" s="138"/>
      <c r="L193" s="138"/>
      <c r="M193" s="139"/>
      <c r="N193" s="138"/>
      <c r="O193" s="138"/>
      <c r="P193" s="138"/>
      <c r="Q193" s="138"/>
      <c r="R193" s="138"/>
      <c r="S193" s="138"/>
      <c r="T193" s="138"/>
      <c r="U193" s="138"/>
      <c r="V193" s="138"/>
    </row>
    <row r="194" spans="1:22">
      <c r="A194" s="138"/>
      <c r="B194" s="139"/>
      <c r="C194" s="138"/>
      <c r="D194" s="138"/>
      <c r="E194" s="138"/>
      <c r="F194" s="138"/>
      <c r="G194" s="139"/>
      <c r="H194" s="139"/>
      <c r="I194" s="138"/>
      <c r="J194" s="138"/>
      <c r="K194" s="138"/>
      <c r="L194" s="138"/>
      <c r="M194" s="139"/>
      <c r="N194" s="138"/>
      <c r="O194" s="138"/>
      <c r="P194" s="138"/>
      <c r="Q194" s="138"/>
      <c r="R194" s="138"/>
      <c r="S194" s="138"/>
      <c r="T194" s="138"/>
      <c r="U194" s="138"/>
      <c r="V194" s="138"/>
    </row>
    <row r="195" spans="1:22">
      <c r="A195" s="138"/>
      <c r="B195" s="139"/>
      <c r="C195" s="138"/>
      <c r="D195" s="138"/>
      <c r="E195" s="138"/>
      <c r="F195" s="138"/>
      <c r="G195" s="139"/>
      <c r="H195" s="139"/>
      <c r="I195" s="138"/>
      <c r="J195" s="138"/>
      <c r="K195" s="138"/>
      <c r="L195" s="138"/>
      <c r="M195" s="139"/>
      <c r="N195" s="138"/>
      <c r="O195" s="138"/>
      <c r="P195" s="138"/>
      <c r="Q195" s="138"/>
      <c r="R195" s="138"/>
      <c r="S195" s="138"/>
      <c r="T195" s="138"/>
      <c r="U195" s="138"/>
      <c r="V195" s="138"/>
    </row>
    <row r="196" spans="1:22">
      <c r="A196" s="138"/>
      <c r="B196" s="139"/>
      <c r="C196" s="138"/>
      <c r="D196" s="138"/>
      <c r="E196" s="138"/>
      <c r="F196" s="138"/>
      <c r="G196" s="139"/>
      <c r="H196" s="139"/>
      <c r="I196" s="138"/>
      <c r="J196" s="138"/>
      <c r="K196" s="138"/>
      <c r="L196" s="138"/>
      <c r="M196" s="139"/>
      <c r="N196" s="138"/>
      <c r="O196" s="138"/>
      <c r="P196" s="138"/>
      <c r="Q196" s="138"/>
      <c r="R196" s="138"/>
      <c r="S196" s="138"/>
      <c r="T196" s="138"/>
      <c r="U196" s="138"/>
      <c r="V196" s="138"/>
    </row>
    <row r="197" spans="1:22">
      <c r="A197" s="138"/>
      <c r="B197" s="139"/>
      <c r="C197" s="138"/>
      <c r="D197" s="138"/>
      <c r="E197" s="138"/>
      <c r="F197" s="138"/>
      <c r="G197" s="139"/>
      <c r="H197" s="139"/>
      <c r="I197" s="138"/>
      <c r="J197" s="138"/>
      <c r="K197" s="138"/>
      <c r="L197" s="138"/>
      <c r="M197" s="139"/>
      <c r="N197" s="138"/>
      <c r="O197" s="138"/>
      <c r="P197" s="138"/>
      <c r="Q197" s="138"/>
      <c r="R197" s="138"/>
      <c r="S197" s="138"/>
      <c r="T197" s="138"/>
      <c r="U197" s="138"/>
      <c r="V197" s="138"/>
    </row>
    <row r="198" spans="1:22">
      <c r="A198" s="138"/>
      <c r="B198" s="139"/>
      <c r="C198" s="138"/>
      <c r="D198" s="138"/>
      <c r="E198" s="138"/>
      <c r="F198" s="138"/>
      <c r="G198" s="139"/>
      <c r="H198" s="139"/>
      <c r="I198" s="138"/>
      <c r="J198" s="138"/>
      <c r="K198" s="138"/>
      <c r="L198" s="138"/>
      <c r="M198" s="139"/>
      <c r="N198" s="138"/>
      <c r="O198" s="138"/>
      <c r="P198" s="138"/>
      <c r="Q198" s="138"/>
      <c r="R198" s="138"/>
      <c r="S198" s="138"/>
      <c r="T198" s="138"/>
      <c r="U198" s="138"/>
      <c r="V198" s="138"/>
    </row>
    <row r="199" spans="1:22">
      <c r="A199" s="138"/>
      <c r="B199" s="139"/>
      <c r="C199" s="138"/>
      <c r="D199" s="138"/>
      <c r="E199" s="138"/>
      <c r="F199" s="138"/>
      <c r="G199" s="139"/>
      <c r="H199" s="139"/>
      <c r="I199" s="138"/>
      <c r="J199" s="138"/>
      <c r="K199" s="138"/>
      <c r="L199" s="138"/>
      <c r="M199" s="139"/>
      <c r="N199" s="138"/>
      <c r="O199" s="138"/>
      <c r="P199" s="138"/>
      <c r="Q199" s="138"/>
      <c r="R199" s="138"/>
      <c r="S199" s="138"/>
      <c r="T199" s="138"/>
      <c r="U199" s="138"/>
      <c r="V199" s="138"/>
    </row>
    <row r="200" spans="1:22">
      <c r="A200" s="138"/>
      <c r="B200" s="139"/>
      <c r="C200" s="138"/>
      <c r="D200" s="138"/>
      <c r="E200" s="138"/>
      <c r="F200" s="138"/>
      <c r="G200" s="139"/>
      <c r="H200" s="139"/>
      <c r="I200" s="138"/>
      <c r="J200" s="138"/>
      <c r="K200" s="138"/>
      <c r="L200" s="138"/>
      <c r="M200" s="139"/>
      <c r="N200" s="138"/>
      <c r="O200" s="138"/>
      <c r="P200" s="138"/>
      <c r="Q200" s="138"/>
      <c r="R200" s="138"/>
      <c r="S200" s="138"/>
      <c r="T200" s="138"/>
      <c r="U200" s="138"/>
      <c r="V200" s="138"/>
    </row>
    <row r="201" spans="1:22">
      <c r="A201" s="138"/>
      <c r="B201" s="139"/>
      <c r="C201" s="138"/>
      <c r="D201" s="138"/>
      <c r="E201" s="138"/>
      <c r="F201" s="138"/>
      <c r="G201" s="139"/>
      <c r="H201" s="139"/>
      <c r="I201" s="138"/>
      <c r="J201" s="138"/>
      <c r="K201" s="138"/>
      <c r="L201" s="138"/>
      <c r="M201" s="139"/>
      <c r="N201" s="138"/>
      <c r="O201" s="138"/>
      <c r="P201" s="138"/>
      <c r="Q201" s="138"/>
      <c r="R201" s="138"/>
      <c r="S201" s="138"/>
      <c r="T201" s="138"/>
      <c r="U201" s="138"/>
      <c r="V201" s="138"/>
    </row>
    <row r="202" spans="1:22">
      <c r="A202" s="138"/>
      <c r="B202" s="139"/>
      <c r="C202" s="138"/>
      <c r="D202" s="138"/>
      <c r="E202" s="138"/>
      <c r="F202" s="138"/>
      <c r="G202" s="139"/>
      <c r="H202" s="139"/>
      <c r="I202" s="138"/>
      <c r="J202" s="138"/>
      <c r="K202" s="138"/>
      <c r="L202" s="138"/>
      <c r="M202" s="139"/>
      <c r="N202" s="138"/>
      <c r="O202" s="138"/>
      <c r="P202" s="138"/>
      <c r="Q202" s="138"/>
      <c r="R202" s="138"/>
      <c r="S202" s="138"/>
      <c r="T202" s="138"/>
      <c r="U202" s="138"/>
      <c r="V202" s="138"/>
    </row>
    <row r="203" spans="1:22">
      <c r="A203" s="138"/>
      <c r="B203" s="139"/>
      <c r="C203" s="138"/>
      <c r="D203" s="138"/>
      <c r="E203" s="138"/>
      <c r="F203" s="138"/>
      <c r="G203" s="139"/>
      <c r="H203" s="139"/>
      <c r="I203" s="138"/>
      <c r="J203" s="138"/>
      <c r="K203" s="138"/>
      <c r="L203" s="138"/>
      <c r="M203" s="139"/>
      <c r="N203" s="138"/>
      <c r="O203" s="138"/>
      <c r="P203" s="138"/>
      <c r="Q203" s="138"/>
      <c r="R203" s="138"/>
      <c r="S203" s="138"/>
      <c r="T203" s="138"/>
      <c r="U203" s="138"/>
      <c r="V203" s="138"/>
    </row>
    <row r="204" spans="1:22">
      <c r="A204" s="138"/>
      <c r="B204" s="139"/>
      <c r="C204" s="138"/>
      <c r="D204" s="138"/>
      <c r="E204" s="138"/>
      <c r="F204" s="138"/>
      <c r="G204" s="139"/>
      <c r="H204" s="139"/>
      <c r="I204" s="138"/>
      <c r="J204" s="138"/>
      <c r="K204" s="138"/>
      <c r="L204" s="138"/>
      <c r="M204" s="139"/>
      <c r="N204" s="138"/>
      <c r="O204" s="138"/>
      <c r="P204" s="138"/>
      <c r="Q204" s="138"/>
      <c r="R204" s="138"/>
      <c r="S204" s="138"/>
      <c r="T204" s="138"/>
      <c r="U204" s="138"/>
      <c r="V204" s="138"/>
    </row>
    <row r="205" spans="1:22">
      <c r="A205" s="138"/>
      <c r="B205" s="139"/>
      <c r="C205" s="138"/>
      <c r="D205" s="138"/>
      <c r="E205" s="138"/>
      <c r="F205" s="138"/>
      <c r="G205" s="139"/>
      <c r="H205" s="139"/>
      <c r="I205" s="138"/>
      <c r="J205" s="138"/>
      <c r="K205" s="138"/>
      <c r="L205" s="138"/>
      <c r="M205" s="139"/>
      <c r="N205" s="138"/>
      <c r="O205" s="138"/>
      <c r="P205" s="138"/>
      <c r="Q205" s="138"/>
      <c r="R205" s="138"/>
      <c r="S205" s="138"/>
      <c r="T205" s="138"/>
      <c r="U205" s="138"/>
      <c r="V205" s="138"/>
    </row>
    <row r="206" spans="1:22">
      <c r="A206" s="138"/>
      <c r="B206" s="139"/>
      <c r="C206" s="138"/>
      <c r="D206" s="138"/>
      <c r="E206" s="138"/>
      <c r="F206" s="138"/>
      <c r="G206" s="139"/>
      <c r="H206" s="139"/>
      <c r="I206" s="138"/>
      <c r="J206" s="138"/>
      <c r="K206" s="138"/>
      <c r="L206" s="138"/>
      <c r="M206" s="139"/>
      <c r="N206" s="138"/>
      <c r="O206" s="138"/>
      <c r="P206" s="138"/>
      <c r="Q206" s="138"/>
      <c r="R206" s="138"/>
      <c r="S206" s="138"/>
      <c r="T206" s="138"/>
      <c r="U206" s="138"/>
      <c r="V206" s="138"/>
    </row>
    <row r="207" spans="1:22">
      <c r="A207" s="140"/>
      <c r="B207" s="141"/>
      <c r="C207" s="140"/>
      <c r="D207" s="140"/>
      <c r="E207" s="140"/>
      <c r="F207" s="140"/>
      <c r="G207" s="141"/>
      <c r="H207" s="141"/>
      <c r="I207" s="140"/>
      <c r="J207" s="140"/>
      <c r="K207" s="140"/>
      <c r="L207" s="140"/>
      <c r="M207" s="141"/>
      <c r="N207" s="138"/>
      <c r="O207" s="138"/>
      <c r="P207" s="138"/>
      <c r="Q207" s="138"/>
      <c r="R207" s="138"/>
      <c r="S207" s="138"/>
      <c r="T207" s="138"/>
      <c r="U207" s="138"/>
      <c r="V207" s="138"/>
    </row>
    <row r="208" spans="1:22">
      <c r="A208" s="140"/>
      <c r="B208" s="141"/>
      <c r="C208" s="140"/>
      <c r="D208" s="140"/>
      <c r="E208" s="140"/>
      <c r="F208" s="140"/>
      <c r="G208" s="141"/>
      <c r="H208" s="141"/>
      <c r="I208" s="140"/>
      <c r="J208" s="140"/>
      <c r="K208" s="140"/>
      <c r="L208" s="140"/>
      <c r="M208" s="141"/>
      <c r="N208" s="138"/>
      <c r="O208" s="138"/>
      <c r="P208" s="138"/>
      <c r="Q208" s="138"/>
      <c r="R208" s="138"/>
      <c r="S208" s="138"/>
      <c r="T208" s="138"/>
      <c r="U208" s="138"/>
      <c r="V208" s="138"/>
    </row>
    <row r="209" spans="1:22">
      <c r="A209" s="138"/>
      <c r="B209" s="139"/>
      <c r="C209" s="138"/>
      <c r="D209" s="138"/>
      <c r="E209" s="138"/>
      <c r="F209" s="138"/>
      <c r="G209" s="139"/>
      <c r="H209" s="139"/>
      <c r="I209" s="138"/>
      <c r="J209" s="138"/>
      <c r="K209" s="138"/>
      <c r="L209" s="138"/>
      <c r="M209" s="139"/>
      <c r="N209" s="138"/>
      <c r="O209" s="138"/>
      <c r="P209" s="138"/>
      <c r="Q209" s="138"/>
      <c r="R209" s="138"/>
      <c r="S209" s="138"/>
      <c r="T209" s="138"/>
      <c r="U209" s="138"/>
      <c r="V209" s="138"/>
    </row>
    <row r="210" spans="1:22">
      <c r="A210" s="138"/>
      <c r="B210" s="139"/>
      <c r="C210" s="138"/>
      <c r="D210" s="138"/>
      <c r="E210" s="138"/>
      <c r="F210" s="138"/>
      <c r="G210" s="139"/>
      <c r="H210" s="139"/>
      <c r="I210" s="138"/>
      <c r="J210" s="138"/>
      <c r="K210" s="138"/>
      <c r="L210" s="138"/>
      <c r="M210" s="139"/>
      <c r="N210" s="138"/>
      <c r="O210" s="138"/>
      <c r="P210" s="138"/>
      <c r="Q210" s="138"/>
      <c r="R210" s="138"/>
      <c r="S210" s="138"/>
      <c r="T210" s="138"/>
      <c r="U210" s="138"/>
      <c r="V210" s="138"/>
    </row>
    <row r="211" spans="1:22">
      <c r="A211" s="138"/>
      <c r="B211" s="139"/>
      <c r="C211" s="138"/>
      <c r="D211" s="138"/>
      <c r="E211" s="138"/>
      <c r="F211" s="138"/>
      <c r="G211" s="139"/>
      <c r="H211" s="139"/>
      <c r="I211" s="138"/>
      <c r="J211" s="138"/>
      <c r="K211" s="138"/>
      <c r="L211" s="138"/>
      <c r="M211" s="139"/>
      <c r="N211" s="138"/>
      <c r="O211" s="138"/>
      <c r="P211" s="138"/>
      <c r="Q211" s="138"/>
      <c r="R211" s="138"/>
      <c r="S211" s="138"/>
      <c r="T211" s="138"/>
      <c r="U211" s="138"/>
      <c r="V211" s="138"/>
    </row>
    <row r="212" spans="1:22">
      <c r="A212" s="138"/>
      <c r="B212" s="139"/>
      <c r="C212" s="138"/>
      <c r="D212" s="138"/>
      <c r="E212" s="138"/>
      <c r="F212" s="138"/>
      <c r="G212" s="139"/>
      <c r="H212" s="139"/>
      <c r="I212" s="138"/>
      <c r="J212" s="138"/>
      <c r="K212" s="138"/>
      <c r="L212" s="138"/>
      <c r="M212" s="139"/>
      <c r="N212" s="138"/>
      <c r="O212" s="138"/>
      <c r="P212" s="138"/>
      <c r="Q212" s="138"/>
      <c r="R212" s="138"/>
      <c r="S212" s="138"/>
      <c r="T212" s="138"/>
      <c r="U212" s="138"/>
      <c r="V212" s="138"/>
    </row>
    <row r="213" spans="1:22">
      <c r="A213" s="138"/>
      <c r="B213" s="139"/>
      <c r="C213" s="138"/>
      <c r="D213" s="138"/>
      <c r="E213" s="138"/>
      <c r="F213" s="138"/>
      <c r="G213" s="139"/>
      <c r="H213" s="139"/>
      <c r="I213" s="138"/>
      <c r="J213" s="138"/>
      <c r="K213" s="138"/>
      <c r="L213" s="138"/>
      <c r="M213" s="139"/>
      <c r="N213" s="138"/>
      <c r="O213" s="138"/>
      <c r="P213" s="138"/>
      <c r="Q213" s="138"/>
      <c r="R213" s="138"/>
      <c r="S213" s="138"/>
      <c r="T213" s="138"/>
      <c r="U213" s="138"/>
      <c r="V213" s="138"/>
    </row>
    <row r="214" spans="1:22">
      <c r="A214" s="138"/>
      <c r="B214" s="139"/>
      <c r="C214" s="138"/>
      <c r="D214" s="138"/>
      <c r="E214" s="138"/>
      <c r="F214" s="138"/>
      <c r="G214" s="139"/>
      <c r="H214" s="139"/>
      <c r="I214" s="138"/>
      <c r="J214" s="138"/>
      <c r="K214" s="138"/>
      <c r="L214" s="138"/>
      <c r="M214" s="139"/>
      <c r="N214" s="138"/>
      <c r="O214" s="138"/>
      <c r="P214" s="138"/>
      <c r="Q214" s="138"/>
      <c r="R214" s="138"/>
      <c r="S214" s="138"/>
      <c r="T214" s="138"/>
      <c r="U214" s="138"/>
      <c r="V214" s="138"/>
    </row>
    <row r="215" spans="1:22">
      <c r="A215" s="138"/>
      <c r="B215" s="139"/>
      <c r="C215" s="138"/>
      <c r="D215" s="138"/>
      <c r="E215" s="138"/>
      <c r="F215" s="138"/>
      <c r="G215" s="139"/>
      <c r="H215" s="139"/>
      <c r="I215" s="138"/>
      <c r="J215" s="138"/>
      <c r="K215" s="138"/>
      <c r="L215" s="138"/>
      <c r="M215" s="139"/>
      <c r="N215" s="138"/>
      <c r="O215" s="138"/>
      <c r="P215" s="138"/>
      <c r="Q215" s="138"/>
      <c r="R215" s="138"/>
      <c r="S215" s="138"/>
      <c r="T215" s="138"/>
      <c r="U215" s="138"/>
      <c r="V215" s="138"/>
    </row>
    <row r="216" spans="1:22">
      <c r="A216" s="138"/>
      <c r="B216" s="139"/>
      <c r="C216" s="138"/>
      <c r="D216" s="138"/>
      <c r="E216" s="138"/>
      <c r="F216" s="138"/>
      <c r="G216" s="139"/>
      <c r="H216" s="139"/>
      <c r="I216" s="138"/>
      <c r="J216" s="138"/>
      <c r="K216" s="138"/>
      <c r="L216" s="138"/>
      <c r="M216" s="139"/>
      <c r="N216" s="138"/>
      <c r="O216" s="138"/>
      <c r="P216" s="138"/>
      <c r="Q216" s="138"/>
      <c r="R216" s="138"/>
      <c r="S216" s="138"/>
      <c r="T216" s="138"/>
      <c r="U216" s="138"/>
      <c r="V216" s="138"/>
    </row>
    <row r="217" spans="1:22">
      <c r="A217" s="138"/>
      <c r="B217" s="139"/>
      <c r="C217" s="138"/>
      <c r="D217" s="138"/>
      <c r="E217" s="138"/>
      <c r="F217" s="138"/>
      <c r="G217" s="139"/>
      <c r="H217" s="139"/>
      <c r="I217" s="138"/>
      <c r="J217" s="138"/>
      <c r="K217" s="138"/>
      <c r="L217" s="138"/>
      <c r="M217" s="139"/>
      <c r="N217" s="138"/>
      <c r="O217" s="138"/>
      <c r="P217" s="138"/>
      <c r="Q217" s="138"/>
      <c r="R217" s="138"/>
      <c r="S217" s="138"/>
      <c r="T217" s="138"/>
      <c r="U217" s="138"/>
      <c r="V217" s="138"/>
    </row>
    <row r="218" spans="1:22">
      <c r="A218" s="138"/>
      <c r="B218" s="139"/>
      <c r="C218" s="138"/>
      <c r="D218" s="138"/>
      <c r="E218" s="138"/>
      <c r="F218" s="138"/>
      <c r="G218" s="139"/>
      <c r="H218" s="139"/>
      <c r="I218" s="138"/>
      <c r="J218" s="138"/>
      <c r="K218" s="138"/>
      <c r="L218" s="138"/>
      <c r="M218" s="139"/>
      <c r="N218" s="138"/>
      <c r="O218" s="138"/>
      <c r="P218" s="138"/>
      <c r="Q218" s="138"/>
      <c r="R218" s="138"/>
      <c r="S218" s="138"/>
      <c r="T218" s="138"/>
      <c r="U218" s="138"/>
      <c r="V218" s="138"/>
    </row>
    <row r="219" spans="1:22">
      <c r="A219" s="138"/>
      <c r="B219" s="139"/>
      <c r="C219" s="138"/>
      <c r="D219" s="138"/>
      <c r="E219" s="138"/>
      <c r="F219" s="138"/>
      <c r="G219" s="139"/>
      <c r="H219" s="139"/>
      <c r="I219" s="138"/>
      <c r="J219" s="138"/>
      <c r="K219" s="138"/>
      <c r="L219" s="138"/>
      <c r="M219" s="139"/>
      <c r="N219" s="138"/>
      <c r="O219" s="138"/>
      <c r="P219" s="138"/>
      <c r="Q219" s="138"/>
      <c r="R219" s="138"/>
      <c r="S219" s="138"/>
      <c r="T219" s="138"/>
      <c r="U219" s="138"/>
      <c r="V219" s="138"/>
    </row>
    <row r="220" spans="1:22">
      <c r="A220" s="138"/>
      <c r="B220" s="139"/>
      <c r="C220" s="138"/>
      <c r="D220" s="138"/>
      <c r="E220" s="138"/>
      <c r="F220" s="138"/>
      <c r="G220" s="139"/>
      <c r="H220" s="139"/>
      <c r="I220" s="138"/>
      <c r="J220" s="138"/>
      <c r="K220" s="138"/>
      <c r="L220" s="138"/>
      <c r="M220" s="139"/>
      <c r="N220" s="138"/>
      <c r="O220" s="138"/>
      <c r="P220" s="138"/>
      <c r="Q220" s="138"/>
      <c r="R220" s="138"/>
      <c r="S220" s="138"/>
      <c r="T220" s="138"/>
      <c r="U220" s="138"/>
      <c r="V220" s="138"/>
    </row>
    <row r="221" spans="1:22">
      <c r="A221" s="138"/>
      <c r="B221" s="139"/>
      <c r="C221" s="138"/>
      <c r="D221" s="138"/>
      <c r="E221" s="138"/>
      <c r="F221" s="138"/>
      <c r="G221" s="139"/>
      <c r="H221" s="139"/>
      <c r="I221" s="138"/>
      <c r="J221" s="138"/>
      <c r="K221" s="138"/>
      <c r="L221" s="138"/>
      <c r="M221" s="139"/>
      <c r="N221" s="138"/>
      <c r="O221" s="138"/>
      <c r="P221" s="138"/>
      <c r="Q221" s="138"/>
      <c r="R221" s="138"/>
      <c r="S221" s="138"/>
      <c r="T221" s="138"/>
      <c r="U221" s="138"/>
      <c r="V221" s="138"/>
    </row>
    <row r="222" spans="1:22">
      <c r="A222" s="138"/>
      <c r="B222" s="139"/>
      <c r="C222" s="138"/>
      <c r="D222" s="138"/>
      <c r="E222" s="138"/>
      <c r="F222" s="138"/>
      <c r="G222" s="139"/>
      <c r="H222" s="139"/>
      <c r="I222" s="138"/>
      <c r="J222" s="138"/>
      <c r="K222" s="138"/>
      <c r="L222" s="138"/>
      <c r="M222" s="139"/>
      <c r="N222" s="138"/>
      <c r="O222" s="138"/>
      <c r="P222" s="138"/>
      <c r="Q222" s="138"/>
      <c r="R222" s="138"/>
      <c r="S222" s="138"/>
      <c r="T222" s="138"/>
      <c r="U222" s="138"/>
      <c r="V222" s="138"/>
    </row>
    <row r="223" spans="1:22">
      <c r="A223" s="138"/>
      <c r="B223" s="139"/>
      <c r="C223" s="138"/>
      <c r="D223" s="138"/>
      <c r="E223" s="138"/>
      <c r="F223" s="138"/>
      <c r="G223" s="139"/>
      <c r="H223" s="139"/>
      <c r="I223" s="138"/>
      <c r="J223" s="138"/>
      <c r="K223" s="138"/>
      <c r="L223" s="138"/>
      <c r="M223" s="139"/>
      <c r="N223" s="138"/>
      <c r="O223" s="138"/>
      <c r="P223" s="138"/>
      <c r="Q223" s="138"/>
      <c r="R223" s="138"/>
      <c r="S223" s="138"/>
      <c r="T223" s="138"/>
      <c r="U223" s="138"/>
      <c r="V223" s="138"/>
    </row>
    <row r="224" spans="1:22">
      <c r="A224" s="138"/>
      <c r="B224" s="139"/>
      <c r="C224" s="138"/>
      <c r="D224" s="138"/>
      <c r="E224" s="138"/>
      <c r="F224" s="138"/>
      <c r="G224" s="139"/>
      <c r="H224" s="139"/>
      <c r="I224" s="138"/>
      <c r="J224" s="138"/>
      <c r="K224" s="138"/>
      <c r="L224" s="138"/>
      <c r="M224" s="139"/>
      <c r="N224" s="138"/>
      <c r="O224" s="138"/>
      <c r="P224" s="138"/>
      <c r="Q224" s="138"/>
      <c r="R224" s="138"/>
      <c r="S224" s="138"/>
      <c r="T224" s="138"/>
      <c r="U224" s="138"/>
      <c r="V224" s="138"/>
    </row>
    <row r="225" spans="1:22">
      <c r="A225" s="138"/>
      <c r="B225" s="139"/>
      <c r="C225" s="138"/>
      <c r="D225" s="138"/>
      <c r="E225" s="138"/>
      <c r="F225" s="138"/>
      <c r="G225" s="139"/>
      <c r="H225" s="139"/>
      <c r="I225" s="138"/>
      <c r="J225" s="138"/>
      <c r="K225" s="138"/>
      <c r="L225" s="138"/>
      <c r="M225" s="139"/>
      <c r="N225" s="138"/>
      <c r="O225" s="138"/>
      <c r="P225" s="138"/>
      <c r="Q225" s="138"/>
      <c r="R225" s="138"/>
      <c r="S225" s="138"/>
      <c r="T225" s="138"/>
      <c r="U225" s="138"/>
      <c r="V225" s="138"/>
    </row>
    <row r="226" spans="1:22">
      <c r="A226" s="138"/>
      <c r="B226" s="139"/>
      <c r="C226" s="138"/>
      <c r="D226" s="138"/>
      <c r="E226" s="138"/>
      <c r="F226" s="138"/>
      <c r="G226" s="139"/>
      <c r="H226" s="139"/>
      <c r="I226" s="138"/>
      <c r="J226" s="138"/>
      <c r="K226" s="138"/>
      <c r="L226" s="138"/>
      <c r="M226" s="139"/>
      <c r="N226" s="138"/>
      <c r="O226" s="138"/>
      <c r="P226" s="138"/>
      <c r="Q226" s="138"/>
      <c r="R226" s="138"/>
      <c r="S226" s="138"/>
      <c r="T226" s="138"/>
      <c r="U226" s="138"/>
      <c r="V226" s="138"/>
    </row>
    <row r="227" spans="1:22">
      <c r="A227" s="138"/>
      <c r="B227" s="139"/>
      <c r="C227" s="138"/>
      <c r="D227" s="138"/>
      <c r="E227" s="138"/>
      <c r="F227" s="138"/>
      <c r="G227" s="139"/>
      <c r="H227" s="139"/>
      <c r="I227" s="138"/>
      <c r="J227" s="138"/>
      <c r="K227" s="138"/>
      <c r="L227" s="138"/>
      <c r="M227" s="139"/>
      <c r="N227" s="138"/>
      <c r="O227" s="138"/>
      <c r="P227" s="138"/>
      <c r="Q227" s="138"/>
      <c r="R227" s="138"/>
      <c r="S227" s="138"/>
      <c r="T227" s="138"/>
      <c r="U227" s="138"/>
      <c r="V227" s="138"/>
    </row>
    <row r="228" spans="1:22">
      <c r="A228" s="138"/>
      <c r="B228" s="139"/>
      <c r="C228" s="138"/>
      <c r="D228" s="138"/>
      <c r="E228" s="138"/>
      <c r="F228" s="138"/>
      <c r="G228" s="139"/>
      <c r="H228" s="139"/>
      <c r="I228" s="138"/>
      <c r="J228" s="138"/>
      <c r="K228" s="138"/>
      <c r="L228" s="138"/>
      <c r="M228" s="139"/>
      <c r="N228" s="138"/>
      <c r="O228" s="138"/>
      <c r="P228" s="138"/>
      <c r="Q228" s="138"/>
      <c r="R228" s="138"/>
      <c r="S228" s="138"/>
      <c r="T228" s="138"/>
      <c r="U228" s="138"/>
      <c r="V228" s="138"/>
    </row>
    <row r="229" spans="1:22">
      <c r="A229" s="138"/>
      <c r="B229" s="139"/>
      <c r="C229" s="138"/>
      <c r="D229" s="138"/>
      <c r="E229" s="138"/>
      <c r="F229" s="138"/>
      <c r="G229" s="139"/>
      <c r="H229" s="139"/>
      <c r="I229" s="138"/>
      <c r="J229" s="138"/>
      <c r="K229" s="138"/>
      <c r="L229" s="138"/>
      <c r="M229" s="139"/>
      <c r="N229" s="138"/>
      <c r="O229" s="138"/>
      <c r="P229" s="138"/>
      <c r="Q229" s="138"/>
      <c r="R229" s="138"/>
      <c r="S229" s="138"/>
      <c r="T229" s="138"/>
      <c r="U229" s="138"/>
      <c r="V229" s="138"/>
    </row>
    <row r="230" spans="1:22">
      <c r="A230" s="138"/>
      <c r="B230" s="139"/>
      <c r="C230" s="138"/>
      <c r="D230" s="138"/>
      <c r="E230" s="138"/>
      <c r="F230" s="138"/>
      <c r="G230" s="139"/>
      <c r="H230" s="139"/>
      <c r="I230" s="138"/>
      <c r="J230" s="138"/>
      <c r="K230" s="138"/>
      <c r="L230" s="138"/>
      <c r="M230" s="139"/>
      <c r="N230" s="138"/>
      <c r="O230" s="138"/>
      <c r="P230" s="138"/>
      <c r="Q230" s="138"/>
      <c r="R230" s="138"/>
      <c r="S230" s="138"/>
      <c r="T230" s="138"/>
      <c r="U230" s="138"/>
      <c r="V230" s="138"/>
    </row>
    <row r="231" spans="1:22">
      <c r="A231" s="138"/>
      <c r="B231" s="139"/>
      <c r="C231" s="138"/>
      <c r="D231" s="138"/>
      <c r="E231" s="138"/>
      <c r="F231" s="138"/>
      <c r="G231" s="139"/>
      <c r="H231" s="139"/>
      <c r="I231" s="138"/>
      <c r="J231" s="138"/>
      <c r="K231" s="138"/>
      <c r="L231" s="138"/>
      <c r="M231" s="139"/>
      <c r="N231" s="138"/>
      <c r="O231" s="138"/>
      <c r="P231" s="138"/>
      <c r="Q231" s="138"/>
      <c r="R231" s="138"/>
      <c r="S231" s="138"/>
      <c r="T231" s="138"/>
      <c r="U231" s="138"/>
      <c r="V231" s="138"/>
    </row>
    <row r="232" spans="1:22">
      <c r="A232" s="138"/>
      <c r="B232" s="139"/>
      <c r="C232" s="138"/>
      <c r="D232" s="138"/>
      <c r="E232" s="138"/>
      <c r="F232" s="138"/>
      <c r="G232" s="139"/>
      <c r="H232" s="139"/>
      <c r="I232" s="138"/>
      <c r="J232" s="138"/>
      <c r="K232" s="138"/>
      <c r="L232" s="138"/>
      <c r="M232" s="139"/>
      <c r="N232" s="138"/>
      <c r="O232" s="138"/>
      <c r="P232" s="138"/>
      <c r="Q232" s="138"/>
      <c r="R232" s="138"/>
      <c r="S232" s="138"/>
      <c r="T232" s="138"/>
      <c r="U232" s="138"/>
      <c r="V232" s="138"/>
    </row>
    <row r="233" spans="1:22">
      <c r="A233" s="138"/>
      <c r="B233" s="139"/>
      <c r="C233" s="138"/>
      <c r="D233" s="138"/>
      <c r="E233" s="138"/>
      <c r="F233" s="138"/>
      <c r="G233" s="139"/>
      <c r="H233" s="139"/>
      <c r="I233" s="138"/>
      <c r="J233" s="138"/>
      <c r="K233" s="138"/>
      <c r="L233" s="138"/>
      <c r="M233" s="139"/>
      <c r="N233" s="138"/>
      <c r="O233" s="138"/>
      <c r="P233" s="138"/>
      <c r="Q233" s="138"/>
      <c r="R233" s="138"/>
      <c r="S233" s="138"/>
      <c r="T233" s="138"/>
      <c r="U233" s="138"/>
      <c r="V233" s="138"/>
    </row>
    <row r="234" spans="1:22">
      <c r="A234" s="138"/>
      <c r="B234" s="139"/>
      <c r="C234" s="138"/>
      <c r="D234" s="138"/>
      <c r="E234" s="138"/>
      <c r="F234" s="138"/>
      <c r="G234" s="139"/>
      <c r="H234" s="139"/>
      <c r="I234" s="138"/>
      <c r="J234" s="138"/>
      <c r="K234" s="138"/>
      <c r="L234" s="138"/>
      <c r="M234" s="139"/>
      <c r="N234" s="138"/>
      <c r="O234" s="138"/>
      <c r="P234" s="138"/>
      <c r="Q234" s="138"/>
      <c r="R234" s="138"/>
      <c r="S234" s="138"/>
      <c r="T234" s="138"/>
      <c r="U234" s="138"/>
      <c r="V234" s="138"/>
    </row>
    <row r="235" spans="1:22">
      <c r="A235" s="138"/>
      <c r="B235" s="139"/>
      <c r="C235" s="138"/>
      <c r="D235" s="138"/>
      <c r="E235" s="138"/>
      <c r="F235" s="138"/>
      <c r="G235" s="139"/>
      <c r="H235" s="139"/>
      <c r="I235" s="138"/>
      <c r="J235" s="138"/>
      <c r="K235" s="138"/>
      <c r="L235" s="138"/>
      <c r="M235" s="139"/>
      <c r="N235" s="138"/>
      <c r="O235" s="138"/>
      <c r="P235" s="138"/>
      <c r="Q235" s="138"/>
      <c r="R235" s="138"/>
      <c r="S235" s="138"/>
      <c r="T235" s="138"/>
      <c r="U235" s="138"/>
      <c r="V235" s="138"/>
    </row>
    <row r="236" spans="1:22">
      <c r="A236" s="138"/>
      <c r="B236" s="139"/>
      <c r="C236" s="138"/>
      <c r="D236" s="138"/>
      <c r="E236" s="138"/>
      <c r="F236" s="138"/>
      <c r="G236" s="139"/>
      <c r="H236" s="139"/>
      <c r="I236" s="138"/>
      <c r="J236" s="138"/>
      <c r="K236" s="138"/>
      <c r="L236" s="138"/>
      <c r="M236" s="139"/>
      <c r="N236" s="138"/>
      <c r="O236" s="138"/>
      <c r="P236" s="138"/>
      <c r="Q236" s="138"/>
      <c r="R236" s="138"/>
      <c r="S236" s="138"/>
      <c r="T236" s="138"/>
      <c r="U236" s="138"/>
      <c r="V236" s="138"/>
    </row>
    <row r="237" spans="1:22">
      <c r="A237" s="138"/>
      <c r="B237" s="139"/>
      <c r="C237" s="138"/>
      <c r="D237" s="138"/>
      <c r="E237" s="138"/>
      <c r="F237" s="138"/>
      <c r="G237" s="139"/>
      <c r="H237" s="139"/>
      <c r="I237" s="138"/>
      <c r="J237" s="138"/>
      <c r="K237" s="138"/>
      <c r="L237" s="138"/>
      <c r="M237" s="139"/>
      <c r="N237" s="138"/>
      <c r="O237" s="138"/>
      <c r="P237" s="138"/>
      <c r="Q237" s="138"/>
      <c r="R237" s="138"/>
      <c r="S237" s="138"/>
      <c r="T237" s="138"/>
      <c r="U237" s="138"/>
      <c r="V237" s="138"/>
    </row>
    <row r="238" spans="1:22">
      <c r="A238" s="138"/>
      <c r="B238" s="139"/>
      <c r="C238" s="138"/>
      <c r="D238" s="138"/>
      <c r="E238" s="138"/>
      <c r="F238" s="138"/>
      <c r="G238" s="139"/>
      <c r="H238" s="139"/>
      <c r="I238" s="138"/>
      <c r="J238" s="138"/>
      <c r="K238" s="138"/>
      <c r="L238" s="138"/>
      <c r="M238" s="139"/>
      <c r="N238" s="138"/>
      <c r="O238" s="138"/>
      <c r="P238" s="138"/>
      <c r="Q238" s="138"/>
      <c r="R238" s="138"/>
      <c r="S238" s="138"/>
      <c r="T238" s="138"/>
      <c r="U238" s="138"/>
      <c r="V238" s="138"/>
    </row>
    <row r="239" spans="1:22">
      <c r="A239" s="138"/>
      <c r="B239" s="139"/>
      <c r="C239" s="138"/>
      <c r="D239" s="138"/>
      <c r="E239" s="138"/>
      <c r="F239" s="138"/>
      <c r="G239" s="139"/>
      <c r="H239" s="139"/>
      <c r="I239" s="138"/>
      <c r="J239" s="138"/>
      <c r="K239" s="138"/>
      <c r="L239" s="138"/>
      <c r="M239" s="139"/>
      <c r="N239" s="138"/>
      <c r="O239" s="138"/>
      <c r="P239" s="138"/>
      <c r="Q239" s="138"/>
      <c r="R239" s="138"/>
      <c r="S239" s="138"/>
      <c r="T239" s="138"/>
      <c r="U239" s="138"/>
      <c r="V239" s="138"/>
    </row>
    <row r="240" spans="1:22">
      <c r="A240" s="138"/>
      <c r="B240" s="139"/>
      <c r="C240" s="138"/>
      <c r="D240" s="138"/>
      <c r="E240" s="138"/>
      <c r="F240" s="138"/>
      <c r="G240" s="139"/>
      <c r="H240" s="139"/>
      <c r="I240" s="138"/>
      <c r="J240" s="138"/>
      <c r="K240" s="138"/>
      <c r="L240" s="138"/>
      <c r="M240" s="139"/>
      <c r="N240" s="138"/>
      <c r="O240" s="138"/>
      <c r="P240" s="138"/>
      <c r="Q240" s="138"/>
      <c r="R240" s="138"/>
      <c r="S240" s="138"/>
      <c r="T240" s="138"/>
      <c r="U240" s="138"/>
      <c r="V240" s="138"/>
    </row>
    <row r="241" spans="1:22">
      <c r="A241" s="138"/>
      <c r="B241" s="139"/>
      <c r="C241" s="138"/>
      <c r="D241" s="138"/>
      <c r="E241" s="138"/>
      <c r="F241" s="138"/>
      <c r="G241" s="139"/>
      <c r="H241" s="139"/>
      <c r="I241" s="138"/>
      <c r="J241" s="138"/>
      <c r="K241" s="138"/>
      <c r="L241" s="138"/>
      <c r="M241" s="139"/>
      <c r="N241" s="138"/>
      <c r="O241" s="138"/>
      <c r="P241" s="138"/>
      <c r="Q241" s="138"/>
      <c r="R241" s="138"/>
      <c r="S241" s="138"/>
      <c r="T241" s="138"/>
      <c r="U241" s="138"/>
      <c r="V241" s="138"/>
    </row>
    <row r="242" spans="1:22">
      <c r="A242" s="138"/>
      <c r="B242" s="139"/>
      <c r="C242" s="138"/>
      <c r="D242" s="138"/>
      <c r="E242" s="138"/>
      <c r="F242" s="138"/>
      <c r="G242" s="139"/>
      <c r="H242" s="139"/>
      <c r="I242" s="138"/>
      <c r="J242" s="138"/>
      <c r="K242" s="138"/>
      <c r="L242" s="138"/>
      <c r="M242" s="139"/>
      <c r="N242" s="138"/>
      <c r="O242" s="138"/>
      <c r="P242" s="138"/>
      <c r="Q242" s="138"/>
      <c r="R242" s="138"/>
      <c r="S242" s="138"/>
      <c r="T242" s="138"/>
      <c r="U242" s="138"/>
      <c r="V242" s="138"/>
    </row>
    <row r="243" spans="1:22">
      <c r="A243" s="138"/>
      <c r="B243" s="139"/>
      <c r="C243" s="138"/>
      <c r="D243" s="138"/>
      <c r="E243" s="138"/>
      <c r="F243" s="138"/>
      <c r="G243" s="139"/>
      <c r="H243" s="139"/>
      <c r="I243" s="138"/>
      <c r="J243" s="138"/>
      <c r="K243" s="138"/>
      <c r="L243" s="138"/>
      <c r="M243" s="139"/>
      <c r="N243" s="138"/>
      <c r="O243" s="138"/>
      <c r="P243" s="138"/>
      <c r="Q243" s="138"/>
      <c r="R243" s="138"/>
      <c r="S243" s="138"/>
      <c r="T243" s="138"/>
      <c r="U243" s="138"/>
      <c r="V243" s="138"/>
    </row>
    <row r="244" spans="1:22">
      <c r="A244" s="138"/>
      <c r="B244" s="139"/>
      <c r="C244" s="138"/>
      <c r="D244" s="138"/>
      <c r="E244" s="138"/>
      <c r="F244" s="138"/>
      <c r="G244" s="139"/>
      <c r="H244" s="139"/>
      <c r="I244" s="138"/>
      <c r="J244" s="138"/>
      <c r="K244" s="138"/>
      <c r="L244" s="138"/>
      <c r="M244" s="139"/>
      <c r="N244" s="138"/>
      <c r="O244" s="138"/>
      <c r="P244" s="138"/>
      <c r="Q244" s="138"/>
      <c r="R244" s="138"/>
      <c r="S244" s="138"/>
      <c r="T244" s="138"/>
      <c r="U244" s="138"/>
      <c r="V244" s="138"/>
    </row>
    <row r="245" spans="1:22">
      <c r="A245" s="138"/>
      <c r="B245" s="139"/>
      <c r="C245" s="138"/>
      <c r="D245" s="138"/>
      <c r="E245" s="138"/>
      <c r="F245" s="138"/>
      <c r="G245" s="139"/>
      <c r="H245" s="139"/>
      <c r="I245" s="138"/>
      <c r="J245" s="138"/>
      <c r="K245" s="138"/>
      <c r="L245" s="138"/>
      <c r="M245" s="139"/>
      <c r="N245" s="138"/>
      <c r="O245" s="138"/>
      <c r="P245" s="138"/>
      <c r="Q245" s="138"/>
      <c r="R245" s="138"/>
      <c r="S245" s="138"/>
      <c r="T245" s="138"/>
      <c r="U245" s="138"/>
      <c r="V245" s="138"/>
    </row>
    <row r="246" spans="1:22">
      <c r="A246" s="138"/>
      <c r="B246" s="139"/>
      <c r="C246" s="138"/>
      <c r="D246" s="138"/>
      <c r="E246" s="138"/>
      <c r="F246" s="138"/>
      <c r="G246" s="139"/>
      <c r="H246" s="139"/>
      <c r="I246" s="138"/>
      <c r="J246" s="138"/>
      <c r="K246" s="138"/>
      <c r="L246" s="138"/>
      <c r="M246" s="139"/>
      <c r="N246" s="138"/>
      <c r="O246" s="138"/>
      <c r="P246" s="138"/>
      <c r="Q246" s="138"/>
      <c r="R246" s="138"/>
      <c r="S246" s="138"/>
      <c r="T246" s="138"/>
      <c r="U246" s="138"/>
      <c r="V246" s="138"/>
    </row>
    <row r="247" spans="1:22">
      <c r="A247" s="138"/>
      <c r="B247" s="139"/>
      <c r="C247" s="138"/>
      <c r="D247" s="138"/>
      <c r="E247" s="138"/>
      <c r="F247" s="138"/>
      <c r="G247" s="139"/>
      <c r="H247" s="139"/>
      <c r="I247" s="138"/>
      <c r="J247" s="138"/>
      <c r="K247" s="138"/>
      <c r="L247" s="138"/>
      <c r="M247" s="139"/>
      <c r="N247" s="138"/>
      <c r="O247" s="138"/>
      <c r="P247" s="138"/>
      <c r="Q247" s="138"/>
      <c r="R247" s="138"/>
      <c r="S247" s="138"/>
      <c r="T247" s="138"/>
      <c r="U247" s="138"/>
      <c r="V247" s="138"/>
    </row>
    <row r="248" spans="1:22">
      <c r="A248" s="138"/>
      <c r="B248" s="139"/>
      <c r="C248" s="138"/>
      <c r="D248" s="138"/>
      <c r="E248" s="138"/>
      <c r="F248" s="138"/>
      <c r="G248" s="139"/>
      <c r="H248" s="139"/>
      <c r="I248" s="138"/>
      <c r="J248" s="138"/>
      <c r="K248" s="138"/>
      <c r="L248" s="138"/>
      <c r="M248" s="139"/>
      <c r="N248" s="138"/>
      <c r="O248" s="138"/>
      <c r="P248" s="138"/>
      <c r="Q248" s="138"/>
      <c r="R248" s="138"/>
      <c r="S248" s="138"/>
      <c r="T248" s="138"/>
      <c r="U248" s="138"/>
      <c r="V248" s="138"/>
    </row>
    <row r="249" spans="1:22">
      <c r="A249" s="138"/>
      <c r="B249" s="139"/>
      <c r="C249" s="138"/>
      <c r="D249" s="138"/>
      <c r="E249" s="138"/>
      <c r="F249" s="138"/>
      <c r="G249" s="139"/>
      <c r="H249" s="139"/>
      <c r="I249" s="138"/>
      <c r="J249" s="138"/>
      <c r="K249" s="138"/>
      <c r="L249" s="138"/>
      <c r="M249" s="139"/>
      <c r="N249" s="138"/>
      <c r="O249" s="138"/>
      <c r="P249" s="138"/>
      <c r="Q249" s="138"/>
      <c r="R249" s="138"/>
      <c r="S249" s="138"/>
      <c r="T249" s="138"/>
      <c r="U249" s="138"/>
      <c r="V249" s="138"/>
    </row>
    <row r="250" spans="1:22">
      <c r="A250" s="138"/>
      <c r="B250" s="139"/>
      <c r="C250" s="138"/>
      <c r="D250" s="138"/>
      <c r="E250" s="138"/>
      <c r="F250" s="138"/>
      <c r="G250" s="139"/>
      <c r="H250" s="139"/>
      <c r="I250" s="138"/>
      <c r="J250" s="138"/>
      <c r="K250" s="138"/>
      <c r="L250" s="138"/>
      <c r="M250" s="139"/>
      <c r="N250" s="138"/>
      <c r="O250" s="138"/>
      <c r="P250" s="138"/>
      <c r="Q250" s="138"/>
      <c r="R250" s="138"/>
      <c r="S250" s="138"/>
      <c r="T250" s="138"/>
      <c r="U250" s="138"/>
      <c r="V250" s="138"/>
    </row>
    <row r="251" spans="1:22">
      <c r="A251" s="138"/>
      <c r="B251" s="139"/>
      <c r="C251" s="138"/>
      <c r="D251" s="138"/>
      <c r="E251" s="138"/>
      <c r="F251" s="138"/>
      <c r="G251" s="139"/>
      <c r="H251" s="139"/>
      <c r="I251" s="138"/>
      <c r="J251" s="138"/>
      <c r="K251" s="138"/>
      <c r="L251" s="138"/>
      <c r="M251" s="139"/>
      <c r="N251" s="138"/>
      <c r="O251" s="138"/>
      <c r="P251" s="138"/>
      <c r="Q251" s="138"/>
      <c r="R251" s="138"/>
      <c r="S251" s="138"/>
      <c r="T251" s="138"/>
      <c r="U251" s="138"/>
      <c r="V251" s="138"/>
    </row>
    <row r="252" spans="1:22">
      <c r="A252" s="138"/>
      <c r="B252" s="139"/>
      <c r="C252" s="138"/>
      <c r="D252" s="138"/>
      <c r="E252" s="138"/>
      <c r="F252" s="138"/>
      <c r="G252" s="139"/>
      <c r="H252" s="139"/>
      <c r="I252" s="138"/>
      <c r="J252" s="138"/>
      <c r="K252" s="138"/>
      <c r="L252" s="138"/>
      <c r="M252" s="139"/>
      <c r="N252" s="138"/>
      <c r="O252" s="138"/>
      <c r="P252" s="138"/>
      <c r="Q252" s="138"/>
      <c r="R252" s="138"/>
      <c r="S252" s="138"/>
      <c r="T252" s="138"/>
      <c r="U252" s="138"/>
      <c r="V252" s="138"/>
    </row>
    <row r="253" spans="1:22">
      <c r="A253" s="138"/>
      <c r="B253" s="139"/>
      <c r="C253" s="138"/>
      <c r="D253" s="138"/>
      <c r="E253" s="138"/>
      <c r="F253" s="138"/>
      <c r="G253" s="139"/>
      <c r="H253" s="139"/>
      <c r="I253" s="138"/>
      <c r="J253" s="138"/>
      <c r="K253" s="138"/>
      <c r="L253" s="138"/>
      <c r="M253" s="139"/>
      <c r="N253" s="138"/>
      <c r="O253" s="138"/>
      <c r="P253" s="138"/>
      <c r="Q253" s="138"/>
      <c r="R253" s="138"/>
      <c r="S253" s="138"/>
      <c r="T253" s="138"/>
      <c r="U253" s="138"/>
      <c r="V253" s="138"/>
    </row>
    <row r="254" spans="1:22">
      <c r="A254" s="138"/>
      <c r="B254" s="139"/>
      <c r="C254" s="138"/>
      <c r="D254" s="138"/>
      <c r="E254" s="138"/>
      <c r="F254" s="138"/>
      <c r="G254" s="139"/>
      <c r="H254" s="139"/>
      <c r="I254" s="138"/>
      <c r="J254" s="138"/>
      <c r="K254" s="138"/>
      <c r="L254" s="138"/>
      <c r="M254" s="139"/>
      <c r="N254" s="138"/>
      <c r="O254" s="138"/>
      <c r="P254" s="138"/>
      <c r="Q254" s="138"/>
      <c r="R254" s="138"/>
      <c r="S254" s="138"/>
      <c r="T254" s="138"/>
      <c r="U254" s="138"/>
      <c r="V254" s="138"/>
    </row>
    <row r="255" spans="1:22">
      <c r="A255" s="138"/>
      <c r="B255" s="139"/>
      <c r="C255" s="138"/>
      <c r="D255" s="138"/>
      <c r="E255" s="138"/>
      <c r="F255" s="138"/>
      <c r="G255" s="139"/>
      <c r="H255" s="139"/>
      <c r="I255" s="138"/>
      <c r="J255" s="138"/>
      <c r="K255" s="138"/>
      <c r="L255" s="138"/>
      <c r="M255" s="139"/>
      <c r="N255" s="138"/>
      <c r="O255" s="138"/>
      <c r="P255" s="138"/>
      <c r="Q255" s="138"/>
      <c r="R255" s="138"/>
      <c r="S255" s="138"/>
      <c r="T255" s="138"/>
      <c r="U255" s="138"/>
      <c r="V255" s="138"/>
    </row>
    <row r="256" spans="1:22">
      <c r="A256" s="138"/>
      <c r="B256" s="139"/>
      <c r="C256" s="138"/>
      <c r="D256" s="138"/>
      <c r="E256" s="138"/>
      <c r="F256" s="138"/>
      <c r="G256" s="139"/>
      <c r="H256" s="139"/>
      <c r="I256" s="138"/>
      <c r="J256" s="138"/>
      <c r="K256" s="138"/>
      <c r="L256" s="138"/>
      <c r="M256" s="139"/>
      <c r="N256" s="138"/>
      <c r="O256" s="138"/>
      <c r="P256" s="138"/>
      <c r="Q256" s="138"/>
      <c r="R256" s="138"/>
      <c r="S256" s="138"/>
      <c r="T256" s="138"/>
      <c r="U256" s="138"/>
      <c r="V256" s="138"/>
    </row>
    <row r="257" spans="1:22">
      <c r="A257" s="138"/>
      <c r="B257" s="139"/>
      <c r="C257" s="138"/>
      <c r="D257" s="138"/>
      <c r="E257" s="138"/>
      <c r="F257" s="138"/>
      <c r="G257" s="139"/>
      <c r="H257" s="139"/>
      <c r="I257" s="138"/>
      <c r="J257" s="138"/>
      <c r="K257" s="138"/>
      <c r="L257" s="138"/>
      <c r="M257" s="139"/>
      <c r="N257" s="138"/>
      <c r="O257" s="138"/>
      <c r="P257" s="138"/>
      <c r="Q257" s="138"/>
      <c r="R257" s="138"/>
      <c r="S257" s="138"/>
      <c r="T257" s="138"/>
      <c r="U257" s="138"/>
      <c r="V257" s="138"/>
    </row>
    <row r="258" spans="1:22">
      <c r="A258" s="138"/>
      <c r="B258" s="139"/>
      <c r="C258" s="138"/>
      <c r="D258" s="138"/>
      <c r="E258" s="138"/>
      <c r="F258" s="138"/>
      <c r="G258" s="139"/>
      <c r="H258" s="139"/>
      <c r="I258" s="138"/>
      <c r="J258" s="138"/>
      <c r="K258" s="138"/>
      <c r="L258" s="138"/>
      <c r="M258" s="139"/>
      <c r="N258" s="138"/>
      <c r="O258" s="138"/>
      <c r="P258" s="138"/>
      <c r="Q258" s="138"/>
      <c r="R258" s="138"/>
      <c r="S258" s="138"/>
      <c r="T258" s="138"/>
      <c r="U258" s="138"/>
      <c r="V258" s="138"/>
    </row>
    <row r="259" spans="1:22">
      <c r="A259" s="138"/>
      <c r="B259" s="139"/>
      <c r="C259" s="138"/>
      <c r="D259" s="138"/>
      <c r="E259" s="138"/>
      <c r="F259" s="138"/>
      <c r="G259" s="139"/>
      <c r="H259" s="139"/>
      <c r="I259" s="138"/>
      <c r="J259" s="138"/>
      <c r="K259" s="138"/>
      <c r="L259" s="138"/>
      <c r="M259" s="139"/>
      <c r="N259" s="138"/>
      <c r="O259" s="138"/>
      <c r="P259" s="138"/>
      <c r="Q259" s="138"/>
      <c r="R259" s="138"/>
      <c r="S259" s="138"/>
      <c r="T259" s="138"/>
      <c r="U259" s="138"/>
      <c r="V259" s="138"/>
    </row>
    <row r="260" spans="1:22">
      <c r="A260" s="138"/>
      <c r="B260" s="139"/>
      <c r="C260" s="138"/>
      <c r="D260" s="138"/>
      <c r="E260" s="138"/>
      <c r="F260" s="138"/>
      <c r="G260" s="139"/>
      <c r="H260" s="139"/>
      <c r="I260" s="138"/>
      <c r="J260" s="138"/>
      <c r="K260" s="138"/>
      <c r="L260" s="138"/>
      <c r="M260" s="139"/>
      <c r="N260" s="138"/>
      <c r="O260" s="138"/>
      <c r="P260" s="138"/>
      <c r="Q260" s="138"/>
      <c r="R260" s="138"/>
      <c r="S260" s="138"/>
      <c r="T260" s="138"/>
      <c r="U260" s="138"/>
      <c r="V260" s="138"/>
    </row>
    <row r="261" spans="1:22">
      <c r="A261" s="138"/>
      <c r="B261" s="139"/>
      <c r="C261" s="138"/>
      <c r="D261" s="138"/>
      <c r="E261" s="138"/>
      <c r="F261" s="138"/>
      <c r="G261" s="139"/>
      <c r="H261" s="139"/>
      <c r="I261" s="138"/>
      <c r="J261" s="138"/>
      <c r="K261" s="138"/>
      <c r="L261" s="138"/>
      <c r="M261" s="139"/>
      <c r="N261" s="138"/>
      <c r="O261" s="138"/>
      <c r="P261" s="138"/>
      <c r="Q261" s="138"/>
      <c r="R261" s="138"/>
      <c r="S261" s="138"/>
      <c r="T261" s="138"/>
      <c r="U261" s="138"/>
      <c r="V261" s="138"/>
    </row>
    <row r="262" spans="1:22">
      <c r="A262" s="138"/>
      <c r="B262" s="139"/>
      <c r="C262" s="138"/>
      <c r="D262" s="138"/>
      <c r="E262" s="138"/>
      <c r="F262" s="138"/>
      <c r="G262" s="139"/>
      <c r="H262" s="139"/>
      <c r="I262" s="138"/>
      <c r="J262" s="138"/>
      <c r="K262" s="138"/>
      <c r="L262" s="138"/>
      <c r="M262" s="139"/>
      <c r="N262" s="138"/>
      <c r="O262" s="138"/>
      <c r="P262" s="138"/>
      <c r="Q262" s="138"/>
      <c r="R262" s="138"/>
      <c r="S262" s="138"/>
      <c r="T262" s="138"/>
      <c r="U262" s="138"/>
      <c r="V262" s="138"/>
    </row>
    <row r="263" spans="1:22">
      <c r="A263" s="138"/>
      <c r="B263" s="139"/>
      <c r="C263" s="138"/>
      <c r="D263" s="138"/>
      <c r="E263" s="138"/>
      <c r="F263" s="138"/>
      <c r="G263" s="139"/>
      <c r="H263" s="139"/>
      <c r="I263" s="138"/>
      <c r="J263" s="138"/>
      <c r="K263" s="138"/>
      <c r="L263" s="138"/>
      <c r="M263" s="139"/>
      <c r="N263" s="138"/>
      <c r="O263" s="138"/>
      <c r="P263" s="138"/>
      <c r="Q263" s="138"/>
      <c r="R263" s="138"/>
      <c r="S263" s="138"/>
      <c r="T263" s="138"/>
      <c r="U263" s="138"/>
      <c r="V263" s="138"/>
    </row>
    <row r="264" spans="1:22">
      <c r="A264" s="138"/>
      <c r="B264" s="139"/>
      <c r="C264" s="138"/>
      <c r="D264" s="138"/>
      <c r="E264" s="138"/>
      <c r="F264" s="138"/>
      <c r="G264" s="139"/>
      <c r="H264" s="139"/>
      <c r="I264" s="138"/>
      <c r="J264" s="138"/>
      <c r="K264" s="138"/>
      <c r="L264" s="138"/>
      <c r="M264" s="139"/>
      <c r="N264" s="138"/>
      <c r="O264" s="138"/>
      <c r="P264" s="138"/>
      <c r="Q264" s="138"/>
      <c r="R264" s="138"/>
      <c r="S264" s="138"/>
      <c r="T264" s="138"/>
      <c r="U264" s="138"/>
      <c r="V264" s="138"/>
    </row>
    <row r="265" spans="1:22">
      <c r="A265" s="138"/>
      <c r="B265" s="139"/>
      <c r="C265" s="138"/>
      <c r="D265" s="138"/>
      <c r="E265" s="138"/>
      <c r="F265" s="138"/>
      <c r="G265" s="139"/>
      <c r="H265" s="139"/>
      <c r="I265" s="138"/>
      <c r="J265" s="138"/>
      <c r="K265" s="138"/>
      <c r="L265" s="138"/>
      <c r="M265" s="139"/>
      <c r="N265" s="138"/>
      <c r="O265" s="138"/>
      <c r="P265" s="138"/>
      <c r="Q265" s="138"/>
      <c r="R265" s="138"/>
      <c r="S265" s="138"/>
      <c r="T265" s="138"/>
      <c r="U265" s="138"/>
      <c r="V265" s="138"/>
    </row>
    <row r="266" spans="1:22">
      <c r="A266" s="138"/>
      <c r="B266" s="139"/>
      <c r="C266" s="138"/>
      <c r="D266" s="138"/>
      <c r="E266" s="138"/>
      <c r="F266" s="138"/>
      <c r="G266" s="139"/>
      <c r="H266" s="139"/>
      <c r="I266" s="138"/>
      <c r="J266" s="138"/>
      <c r="K266" s="138"/>
      <c r="L266" s="138"/>
      <c r="M266" s="139"/>
      <c r="N266" s="138"/>
      <c r="O266" s="138"/>
      <c r="P266" s="138"/>
      <c r="Q266" s="138"/>
      <c r="R266" s="138"/>
      <c r="S266" s="138"/>
      <c r="T266" s="138"/>
      <c r="U266" s="138"/>
      <c r="V266" s="138"/>
    </row>
    <row r="267" spans="1:22">
      <c r="A267" s="138"/>
      <c r="B267" s="139"/>
      <c r="C267" s="138"/>
      <c r="D267" s="138"/>
      <c r="E267" s="138"/>
      <c r="F267" s="138"/>
      <c r="G267" s="139"/>
      <c r="H267" s="139"/>
      <c r="I267" s="138"/>
      <c r="J267" s="138"/>
      <c r="K267" s="138"/>
      <c r="L267" s="138"/>
      <c r="M267" s="139"/>
      <c r="N267" s="138"/>
      <c r="O267" s="138"/>
      <c r="P267" s="138"/>
      <c r="Q267" s="138"/>
      <c r="R267" s="138"/>
      <c r="S267" s="138"/>
      <c r="T267" s="138"/>
      <c r="U267" s="138"/>
      <c r="V267" s="138"/>
    </row>
    <row r="268" spans="1:22">
      <c r="A268" s="138"/>
      <c r="B268" s="139"/>
      <c r="C268" s="138"/>
      <c r="D268" s="138"/>
      <c r="E268" s="138"/>
      <c r="F268" s="138"/>
      <c r="G268" s="139"/>
      <c r="H268" s="139"/>
      <c r="I268" s="138"/>
      <c r="J268" s="138"/>
      <c r="K268" s="138"/>
      <c r="L268" s="138"/>
      <c r="M268" s="139"/>
      <c r="N268" s="138"/>
      <c r="O268" s="138"/>
      <c r="P268" s="138"/>
      <c r="Q268" s="138"/>
      <c r="R268" s="138"/>
      <c r="S268" s="138"/>
      <c r="T268" s="138"/>
      <c r="U268" s="138"/>
      <c r="V268" s="138"/>
    </row>
    <row r="269" spans="1:22">
      <c r="A269" s="138"/>
      <c r="B269" s="139"/>
      <c r="C269" s="138"/>
      <c r="D269" s="138"/>
      <c r="E269" s="138"/>
      <c r="F269" s="138"/>
      <c r="G269" s="139"/>
      <c r="H269" s="139"/>
      <c r="I269" s="138"/>
      <c r="J269" s="138"/>
      <c r="K269" s="138"/>
      <c r="L269" s="138"/>
      <c r="M269" s="139"/>
      <c r="N269" s="138"/>
      <c r="O269" s="138"/>
      <c r="P269" s="138"/>
      <c r="Q269" s="138"/>
      <c r="R269" s="138"/>
      <c r="S269" s="138"/>
      <c r="T269" s="138"/>
      <c r="U269" s="138"/>
      <c r="V269" s="138"/>
    </row>
    <row r="270" spans="1:22">
      <c r="A270" s="138"/>
      <c r="B270" s="139"/>
      <c r="C270" s="138"/>
      <c r="D270" s="138"/>
      <c r="E270" s="138"/>
      <c r="F270" s="138"/>
      <c r="G270" s="139"/>
      <c r="H270" s="139"/>
      <c r="I270" s="138"/>
      <c r="J270" s="138"/>
      <c r="K270" s="138"/>
      <c r="L270" s="138"/>
      <c r="M270" s="139"/>
      <c r="N270" s="138"/>
      <c r="O270" s="138"/>
      <c r="P270" s="138"/>
      <c r="Q270" s="138"/>
      <c r="R270" s="138"/>
      <c r="S270" s="138"/>
      <c r="T270" s="138"/>
      <c r="U270" s="138"/>
      <c r="V270" s="138"/>
    </row>
    <row r="271" spans="1:22">
      <c r="A271" s="138"/>
      <c r="B271" s="139"/>
      <c r="C271" s="138"/>
      <c r="D271" s="138"/>
      <c r="E271" s="138"/>
      <c r="F271" s="138"/>
      <c r="G271" s="139"/>
      <c r="H271" s="139"/>
      <c r="I271" s="138"/>
      <c r="J271" s="138"/>
      <c r="K271" s="138"/>
      <c r="L271" s="138"/>
      <c r="M271" s="139"/>
      <c r="N271" s="138"/>
      <c r="O271" s="138"/>
      <c r="P271" s="138"/>
      <c r="Q271" s="138"/>
      <c r="R271" s="138"/>
      <c r="S271" s="138"/>
      <c r="T271" s="138"/>
      <c r="U271" s="138"/>
      <c r="V271" s="138"/>
    </row>
    <row r="272" spans="1:22">
      <c r="A272" s="138"/>
      <c r="B272" s="139"/>
      <c r="C272" s="138"/>
      <c r="D272" s="138"/>
      <c r="E272" s="138"/>
      <c r="F272" s="138"/>
      <c r="G272" s="139"/>
      <c r="H272" s="139"/>
      <c r="I272" s="138"/>
      <c r="J272" s="138"/>
      <c r="K272" s="138"/>
      <c r="L272" s="138"/>
      <c r="M272" s="139"/>
      <c r="N272" s="138"/>
      <c r="O272" s="138"/>
      <c r="P272" s="138"/>
      <c r="Q272" s="138"/>
      <c r="R272" s="138"/>
      <c r="S272" s="138"/>
      <c r="T272" s="138"/>
      <c r="U272" s="138"/>
      <c r="V272" s="138"/>
    </row>
    <row r="273" spans="1:22">
      <c r="A273" s="138"/>
      <c r="B273" s="139"/>
      <c r="C273" s="138"/>
      <c r="D273" s="138"/>
      <c r="E273" s="138"/>
      <c r="F273" s="138"/>
      <c r="G273" s="139"/>
      <c r="H273" s="139"/>
      <c r="I273" s="138"/>
      <c r="J273" s="138"/>
      <c r="K273" s="138"/>
      <c r="L273" s="138"/>
      <c r="M273" s="139"/>
      <c r="N273" s="138"/>
      <c r="O273" s="138"/>
      <c r="P273" s="138"/>
      <c r="Q273" s="138"/>
      <c r="R273" s="138"/>
      <c r="S273" s="138"/>
      <c r="T273" s="138"/>
      <c r="U273" s="138"/>
      <c r="V273" s="138"/>
    </row>
    <row r="274" spans="1:22">
      <c r="A274" s="138"/>
      <c r="B274" s="139"/>
      <c r="C274" s="138"/>
      <c r="D274" s="138"/>
      <c r="E274" s="138"/>
      <c r="F274" s="138"/>
      <c r="G274" s="139"/>
      <c r="H274" s="139"/>
      <c r="I274" s="138"/>
      <c r="J274" s="138"/>
      <c r="K274" s="138"/>
      <c r="L274" s="138"/>
      <c r="M274" s="139"/>
      <c r="N274" s="138"/>
      <c r="O274" s="138"/>
      <c r="P274" s="138"/>
      <c r="Q274" s="138"/>
      <c r="R274" s="138"/>
      <c r="S274" s="138"/>
      <c r="T274" s="138"/>
      <c r="U274" s="138"/>
      <c r="V274" s="138"/>
    </row>
    <row r="275" spans="1:22">
      <c r="A275" s="138"/>
      <c r="B275" s="139"/>
      <c r="C275" s="138"/>
      <c r="D275" s="138"/>
      <c r="E275" s="138"/>
      <c r="F275" s="138"/>
      <c r="G275" s="139"/>
      <c r="H275" s="139"/>
      <c r="I275" s="138"/>
      <c r="J275" s="138"/>
      <c r="K275" s="138"/>
      <c r="L275" s="138"/>
      <c r="M275" s="139"/>
      <c r="N275" s="138"/>
      <c r="O275" s="138"/>
      <c r="P275" s="138"/>
      <c r="Q275" s="138"/>
      <c r="R275" s="138"/>
      <c r="S275" s="138"/>
      <c r="T275" s="138"/>
      <c r="U275" s="138"/>
      <c r="V275" s="138"/>
    </row>
    <row r="276" spans="1:22">
      <c r="A276" s="138"/>
      <c r="B276" s="139"/>
      <c r="C276" s="138"/>
      <c r="D276" s="138"/>
      <c r="E276" s="138"/>
      <c r="F276" s="138"/>
      <c r="G276" s="139"/>
      <c r="H276" s="139"/>
      <c r="I276" s="138"/>
      <c r="J276" s="138"/>
      <c r="K276" s="138"/>
      <c r="L276" s="138"/>
      <c r="M276" s="139"/>
      <c r="N276" s="138"/>
      <c r="O276" s="138"/>
      <c r="P276" s="138"/>
      <c r="Q276" s="138"/>
      <c r="R276" s="138"/>
      <c r="S276" s="138"/>
      <c r="T276" s="138"/>
      <c r="U276" s="138"/>
      <c r="V276" s="138"/>
    </row>
    <row r="277" spans="1:22">
      <c r="A277" s="138"/>
      <c r="B277" s="139"/>
      <c r="C277" s="138"/>
      <c r="D277" s="138"/>
      <c r="E277" s="138"/>
      <c r="F277" s="138"/>
      <c r="G277" s="139"/>
      <c r="H277" s="139"/>
      <c r="I277" s="138"/>
      <c r="J277" s="138"/>
      <c r="K277" s="138"/>
      <c r="L277" s="138"/>
      <c r="M277" s="139"/>
      <c r="N277" s="138"/>
      <c r="O277" s="138"/>
      <c r="P277" s="138"/>
      <c r="Q277" s="138"/>
      <c r="R277" s="138"/>
      <c r="S277" s="138"/>
      <c r="T277" s="138"/>
      <c r="U277" s="138"/>
      <c r="V277" s="138"/>
    </row>
    <row r="278" spans="1:22">
      <c r="A278" s="138"/>
      <c r="B278" s="139"/>
      <c r="C278" s="138"/>
      <c r="D278" s="138"/>
      <c r="E278" s="138"/>
      <c r="F278" s="138"/>
      <c r="G278" s="139"/>
      <c r="H278" s="139"/>
      <c r="I278" s="138"/>
      <c r="J278" s="138"/>
      <c r="K278" s="138"/>
      <c r="L278" s="138"/>
      <c r="M278" s="139"/>
      <c r="N278" s="138"/>
      <c r="O278" s="138"/>
      <c r="P278" s="138"/>
      <c r="Q278" s="138"/>
      <c r="R278" s="138"/>
      <c r="S278" s="138"/>
      <c r="T278" s="138"/>
      <c r="U278" s="138"/>
      <c r="V278" s="138"/>
    </row>
    <row r="279" spans="1:22">
      <c r="A279" s="138"/>
      <c r="B279" s="139"/>
      <c r="C279" s="138"/>
      <c r="D279" s="138"/>
      <c r="E279" s="138"/>
      <c r="F279" s="138"/>
      <c r="G279" s="139"/>
      <c r="H279" s="139"/>
      <c r="I279" s="138"/>
      <c r="J279" s="138"/>
      <c r="K279" s="138"/>
      <c r="L279" s="138"/>
      <c r="M279" s="139"/>
      <c r="N279" s="138"/>
      <c r="O279" s="138"/>
      <c r="P279" s="138"/>
      <c r="Q279" s="138"/>
      <c r="R279" s="138"/>
      <c r="S279" s="138"/>
      <c r="T279" s="138"/>
      <c r="U279" s="138"/>
      <c r="V279" s="138"/>
    </row>
    <row r="280" spans="1:22">
      <c r="A280" s="138"/>
      <c r="B280" s="139"/>
      <c r="C280" s="138"/>
      <c r="D280" s="138"/>
      <c r="E280" s="138"/>
      <c r="F280" s="138"/>
      <c r="G280" s="139"/>
      <c r="H280" s="139"/>
      <c r="I280" s="138"/>
      <c r="J280" s="138"/>
      <c r="K280" s="138"/>
      <c r="L280" s="138"/>
      <c r="M280" s="139"/>
      <c r="N280" s="138"/>
      <c r="O280" s="138"/>
      <c r="P280" s="138"/>
      <c r="Q280" s="138"/>
      <c r="R280" s="138"/>
      <c r="S280" s="138"/>
      <c r="T280" s="138"/>
      <c r="U280" s="138"/>
      <c r="V280" s="138"/>
    </row>
    <row r="281" spans="1:22">
      <c r="A281" s="138"/>
      <c r="B281" s="139"/>
      <c r="C281" s="138"/>
      <c r="D281" s="138"/>
      <c r="E281" s="138"/>
      <c r="F281" s="138"/>
      <c r="G281" s="139"/>
      <c r="H281" s="139"/>
      <c r="I281" s="138"/>
      <c r="J281" s="138"/>
      <c r="K281" s="138"/>
      <c r="L281" s="138"/>
      <c r="M281" s="139"/>
      <c r="N281" s="138"/>
      <c r="O281" s="138"/>
      <c r="P281" s="138"/>
      <c r="Q281" s="138"/>
      <c r="R281" s="138"/>
      <c r="S281" s="138"/>
      <c r="T281" s="138"/>
      <c r="U281" s="138"/>
      <c r="V281" s="138"/>
    </row>
    <row r="282" spans="1:22">
      <c r="A282" s="138"/>
      <c r="B282" s="139"/>
      <c r="C282" s="138"/>
      <c r="D282" s="138"/>
      <c r="E282" s="138"/>
      <c r="F282" s="138"/>
      <c r="G282" s="139"/>
      <c r="H282" s="139"/>
      <c r="I282" s="138"/>
      <c r="J282" s="138"/>
      <c r="K282" s="138"/>
      <c r="L282" s="138"/>
      <c r="M282" s="139"/>
      <c r="N282" s="138"/>
      <c r="O282" s="138"/>
      <c r="P282" s="138"/>
      <c r="Q282" s="138"/>
      <c r="R282" s="138"/>
      <c r="S282" s="138"/>
      <c r="T282" s="138"/>
      <c r="U282" s="138"/>
      <c r="V282" s="138"/>
    </row>
    <row r="283" spans="1:22">
      <c r="A283" s="138"/>
      <c r="B283" s="139"/>
      <c r="C283" s="138"/>
      <c r="D283" s="138"/>
      <c r="E283" s="138"/>
      <c r="F283" s="138"/>
      <c r="G283" s="139"/>
      <c r="H283" s="139"/>
      <c r="I283" s="138"/>
      <c r="J283" s="138"/>
      <c r="K283" s="138"/>
      <c r="L283" s="138"/>
      <c r="M283" s="139"/>
      <c r="N283" s="138"/>
      <c r="O283" s="138"/>
      <c r="P283" s="138"/>
      <c r="Q283" s="138"/>
      <c r="R283" s="138"/>
      <c r="S283" s="138"/>
      <c r="T283" s="138"/>
      <c r="U283" s="138"/>
      <c r="V283" s="138"/>
    </row>
    <row r="284" spans="1:22">
      <c r="A284" s="138"/>
      <c r="B284" s="139"/>
      <c r="C284" s="138"/>
      <c r="D284" s="138"/>
      <c r="E284" s="138"/>
      <c r="F284" s="138"/>
      <c r="G284" s="139"/>
      <c r="H284" s="139"/>
      <c r="I284" s="138"/>
      <c r="J284" s="138"/>
      <c r="K284" s="138"/>
      <c r="L284" s="138"/>
      <c r="M284" s="139"/>
      <c r="N284" s="138"/>
      <c r="O284" s="138"/>
      <c r="P284" s="138"/>
      <c r="Q284" s="138"/>
      <c r="R284" s="138"/>
      <c r="S284" s="138"/>
      <c r="T284" s="138"/>
      <c r="U284" s="138"/>
      <c r="V284" s="138"/>
    </row>
    <row r="285" spans="1:22">
      <c r="A285" s="138"/>
      <c r="B285" s="139"/>
      <c r="C285" s="138"/>
      <c r="D285" s="138"/>
      <c r="E285" s="138"/>
      <c r="F285" s="138"/>
      <c r="G285" s="139"/>
      <c r="H285" s="139"/>
      <c r="I285" s="138"/>
      <c r="J285" s="138"/>
      <c r="K285" s="138"/>
      <c r="L285" s="138"/>
      <c r="M285" s="139"/>
      <c r="N285" s="138"/>
      <c r="O285" s="138"/>
      <c r="P285" s="138"/>
      <c r="Q285" s="138"/>
      <c r="R285" s="138"/>
      <c r="S285" s="138"/>
      <c r="T285" s="138"/>
      <c r="U285" s="138"/>
      <c r="V285" s="138"/>
    </row>
    <row r="286" spans="1:22">
      <c r="A286" s="138"/>
      <c r="B286" s="139"/>
      <c r="C286" s="138"/>
      <c r="D286" s="138"/>
      <c r="E286" s="138"/>
      <c r="F286" s="138"/>
      <c r="G286" s="139"/>
      <c r="H286" s="139"/>
      <c r="I286" s="138"/>
      <c r="J286" s="138"/>
      <c r="K286" s="138"/>
      <c r="L286" s="138"/>
      <c r="M286" s="139"/>
      <c r="N286" s="138"/>
      <c r="O286" s="138"/>
      <c r="P286" s="138"/>
      <c r="Q286" s="138"/>
      <c r="R286" s="138"/>
      <c r="S286" s="138"/>
      <c r="T286" s="138"/>
      <c r="U286" s="138"/>
      <c r="V286" s="138"/>
    </row>
    <row r="287" spans="1:22">
      <c r="A287" s="138"/>
      <c r="B287" s="139"/>
      <c r="C287" s="138"/>
      <c r="D287" s="138"/>
      <c r="E287" s="138"/>
      <c r="F287" s="138"/>
      <c r="G287" s="139"/>
      <c r="H287" s="139"/>
      <c r="I287" s="138"/>
      <c r="J287" s="138"/>
      <c r="K287" s="138"/>
      <c r="L287" s="138"/>
      <c r="M287" s="139"/>
      <c r="N287" s="138"/>
      <c r="O287" s="138"/>
      <c r="P287" s="138"/>
      <c r="Q287" s="138"/>
      <c r="R287" s="138"/>
      <c r="S287" s="138"/>
      <c r="T287" s="138"/>
      <c r="U287" s="138"/>
      <c r="V287" s="138"/>
    </row>
    <row r="288" spans="1:22">
      <c r="A288" s="138"/>
      <c r="B288" s="139"/>
      <c r="C288" s="138"/>
      <c r="D288" s="138"/>
      <c r="E288" s="138"/>
      <c r="F288" s="138"/>
      <c r="G288" s="139"/>
      <c r="H288" s="139"/>
      <c r="I288" s="138"/>
      <c r="J288" s="138"/>
      <c r="K288" s="138"/>
      <c r="L288" s="138"/>
      <c r="M288" s="139"/>
      <c r="N288" s="138"/>
      <c r="O288" s="138"/>
      <c r="P288" s="138"/>
      <c r="Q288" s="138"/>
      <c r="R288" s="138"/>
      <c r="S288" s="138"/>
      <c r="T288" s="138"/>
      <c r="U288" s="138"/>
      <c r="V288" s="138"/>
    </row>
    <row r="289" spans="1:22">
      <c r="A289" s="138"/>
      <c r="B289" s="139"/>
      <c r="C289" s="138"/>
      <c r="D289" s="138"/>
      <c r="E289" s="138"/>
      <c r="F289" s="138"/>
      <c r="G289" s="139"/>
      <c r="H289" s="139"/>
      <c r="I289" s="138"/>
      <c r="J289" s="138"/>
      <c r="K289" s="138"/>
      <c r="L289" s="138"/>
      <c r="M289" s="139"/>
      <c r="N289" s="138"/>
      <c r="O289" s="138"/>
      <c r="P289" s="138"/>
      <c r="Q289" s="138"/>
      <c r="R289" s="138"/>
      <c r="S289" s="138"/>
      <c r="T289" s="138"/>
      <c r="U289" s="138"/>
      <c r="V289" s="138"/>
    </row>
    <row r="290" spans="1:22">
      <c r="A290" s="138"/>
      <c r="B290" s="139"/>
      <c r="C290" s="138"/>
      <c r="D290" s="138"/>
      <c r="E290" s="138"/>
      <c r="F290" s="138"/>
      <c r="G290" s="139"/>
      <c r="H290" s="139"/>
      <c r="I290" s="138"/>
      <c r="J290" s="138"/>
      <c r="K290" s="138"/>
      <c r="L290" s="138"/>
      <c r="M290" s="139"/>
      <c r="N290" s="138"/>
      <c r="O290" s="138"/>
      <c r="P290" s="138"/>
      <c r="Q290" s="138"/>
      <c r="R290" s="138"/>
      <c r="S290" s="138"/>
      <c r="T290" s="138"/>
      <c r="U290" s="138"/>
      <c r="V290" s="138"/>
    </row>
    <row r="291" spans="1:22">
      <c r="A291" s="138"/>
      <c r="B291" s="139"/>
      <c r="C291" s="138"/>
      <c r="D291" s="138"/>
      <c r="E291" s="138"/>
      <c r="F291" s="138"/>
      <c r="G291" s="139"/>
      <c r="H291" s="139"/>
      <c r="I291" s="138"/>
      <c r="J291" s="138"/>
      <c r="K291" s="138"/>
      <c r="L291" s="138"/>
      <c r="M291" s="139"/>
      <c r="N291" s="138"/>
      <c r="O291" s="138"/>
      <c r="P291" s="138"/>
      <c r="Q291" s="138"/>
      <c r="R291" s="138"/>
      <c r="S291" s="138"/>
      <c r="T291" s="138"/>
      <c r="U291" s="138"/>
      <c r="V291" s="138"/>
    </row>
    <row r="292" spans="1:22">
      <c r="A292" s="138"/>
      <c r="B292" s="139"/>
      <c r="C292" s="138"/>
      <c r="D292" s="138"/>
      <c r="E292" s="138"/>
      <c r="F292" s="138"/>
      <c r="G292" s="139"/>
      <c r="H292" s="139"/>
      <c r="I292" s="138"/>
      <c r="J292" s="138"/>
      <c r="K292" s="138"/>
      <c r="L292" s="138"/>
      <c r="M292" s="139"/>
      <c r="N292" s="138"/>
      <c r="O292" s="138"/>
      <c r="P292" s="138"/>
      <c r="Q292" s="138"/>
      <c r="R292" s="138"/>
      <c r="S292" s="138"/>
      <c r="T292" s="138"/>
      <c r="U292" s="138"/>
      <c r="V292" s="138"/>
    </row>
    <row r="293" spans="1:22">
      <c r="A293" s="138"/>
      <c r="B293" s="139"/>
      <c r="C293" s="138"/>
      <c r="D293" s="138"/>
      <c r="E293" s="138"/>
      <c r="F293" s="138"/>
      <c r="G293" s="139"/>
      <c r="H293" s="139"/>
      <c r="I293" s="138"/>
      <c r="J293" s="138"/>
      <c r="K293" s="138"/>
      <c r="L293" s="138"/>
      <c r="M293" s="139"/>
      <c r="N293" s="138"/>
      <c r="O293" s="138"/>
      <c r="P293" s="138"/>
      <c r="Q293" s="138"/>
      <c r="R293" s="138"/>
      <c r="S293" s="138"/>
      <c r="T293" s="138"/>
      <c r="U293" s="138"/>
      <c r="V293" s="138"/>
    </row>
    <row r="294" spans="1:22">
      <c r="A294" s="138"/>
      <c r="B294" s="139"/>
      <c r="C294" s="138"/>
      <c r="D294" s="138"/>
      <c r="E294" s="138"/>
      <c r="F294" s="138"/>
      <c r="G294" s="139"/>
      <c r="H294" s="139"/>
      <c r="I294" s="138"/>
      <c r="J294" s="138"/>
      <c r="K294" s="138"/>
      <c r="L294" s="138"/>
      <c r="M294" s="139"/>
      <c r="N294" s="138"/>
      <c r="O294" s="138"/>
      <c r="P294" s="138"/>
      <c r="Q294" s="138"/>
      <c r="R294" s="138"/>
      <c r="S294" s="138"/>
      <c r="T294" s="138"/>
      <c r="U294" s="138"/>
      <c r="V294" s="138"/>
    </row>
    <row r="295" spans="1:22">
      <c r="A295" s="138"/>
      <c r="B295" s="139"/>
      <c r="C295" s="138"/>
      <c r="D295" s="138"/>
      <c r="E295" s="138"/>
      <c r="F295" s="138"/>
      <c r="G295" s="139"/>
      <c r="H295" s="139"/>
      <c r="I295" s="138"/>
      <c r="J295" s="138"/>
      <c r="K295" s="138"/>
      <c r="L295" s="138"/>
      <c r="M295" s="139"/>
      <c r="N295" s="138"/>
      <c r="O295" s="138"/>
      <c r="P295" s="138"/>
      <c r="Q295" s="138"/>
      <c r="R295" s="138"/>
      <c r="S295" s="138"/>
      <c r="T295" s="138"/>
      <c r="U295" s="138"/>
      <c r="V295" s="138"/>
    </row>
    <row r="296" spans="1:22">
      <c r="A296" s="138"/>
      <c r="B296" s="139"/>
      <c r="C296" s="138"/>
      <c r="D296" s="138"/>
      <c r="E296" s="138"/>
      <c r="F296" s="138"/>
      <c r="G296" s="139"/>
      <c r="H296" s="139"/>
      <c r="I296" s="138"/>
      <c r="J296" s="138"/>
      <c r="K296" s="138"/>
      <c r="L296" s="138"/>
      <c r="M296" s="139"/>
      <c r="N296" s="138"/>
      <c r="O296" s="138"/>
      <c r="P296" s="138"/>
      <c r="Q296" s="138"/>
      <c r="R296" s="138"/>
      <c r="S296" s="138"/>
      <c r="T296" s="138"/>
      <c r="U296" s="138"/>
      <c r="V296" s="138"/>
    </row>
    <row r="297" spans="1:22">
      <c r="A297" s="138"/>
      <c r="B297" s="139"/>
      <c r="C297" s="138"/>
      <c r="D297" s="138"/>
      <c r="E297" s="138"/>
      <c r="F297" s="138"/>
      <c r="G297" s="139"/>
      <c r="H297" s="139"/>
      <c r="I297" s="138"/>
      <c r="J297" s="138"/>
      <c r="K297" s="138"/>
      <c r="L297" s="138"/>
      <c r="M297" s="139"/>
      <c r="N297" s="138"/>
      <c r="O297" s="138"/>
      <c r="P297" s="138"/>
      <c r="Q297" s="138"/>
      <c r="R297" s="138"/>
      <c r="S297" s="138"/>
      <c r="T297" s="138"/>
      <c r="U297" s="138"/>
      <c r="V297" s="138"/>
    </row>
    <row r="298" spans="1:22">
      <c r="A298" s="138"/>
      <c r="B298" s="139"/>
      <c r="C298" s="138"/>
      <c r="D298" s="138"/>
      <c r="E298" s="138"/>
      <c r="F298" s="138"/>
      <c r="G298" s="139"/>
      <c r="H298" s="139"/>
      <c r="I298" s="138"/>
      <c r="J298" s="138"/>
      <c r="K298" s="138"/>
      <c r="L298" s="138"/>
      <c r="M298" s="139"/>
      <c r="N298" s="138"/>
      <c r="O298" s="138"/>
      <c r="P298" s="138"/>
      <c r="Q298" s="138"/>
      <c r="R298" s="138"/>
      <c r="S298" s="138"/>
      <c r="T298" s="138"/>
      <c r="U298" s="138"/>
      <c r="V298" s="138"/>
    </row>
    <row r="299" spans="1:22">
      <c r="A299" s="138"/>
      <c r="B299" s="139"/>
      <c r="C299" s="138"/>
      <c r="D299" s="138"/>
      <c r="E299" s="138"/>
      <c r="F299" s="138"/>
      <c r="G299" s="139"/>
      <c r="H299" s="139"/>
      <c r="I299" s="138"/>
      <c r="J299" s="138"/>
      <c r="K299" s="138"/>
      <c r="L299" s="138"/>
      <c r="M299" s="139"/>
      <c r="N299" s="138"/>
      <c r="O299" s="138"/>
      <c r="P299" s="138"/>
      <c r="Q299" s="138"/>
      <c r="R299" s="138"/>
      <c r="S299" s="138"/>
      <c r="T299" s="138"/>
      <c r="U299" s="138"/>
      <c r="V299" s="138"/>
    </row>
    <row r="300" spans="1:22">
      <c r="A300" s="138"/>
      <c r="B300" s="139"/>
      <c r="C300" s="138"/>
      <c r="D300" s="138"/>
      <c r="E300" s="138"/>
      <c r="F300" s="138"/>
      <c r="G300" s="139"/>
      <c r="H300" s="139"/>
      <c r="I300" s="138"/>
      <c r="J300" s="138"/>
      <c r="K300" s="138"/>
      <c r="L300" s="138"/>
      <c r="M300" s="139"/>
      <c r="N300" s="138"/>
      <c r="O300" s="138"/>
      <c r="P300" s="138"/>
      <c r="Q300" s="138"/>
      <c r="R300" s="138"/>
      <c r="S300" s="138"/>
      <c r="T300" s="138"/>
      <c r="U300" s="138"/>
      <c r="V300" s="138"/>
    </row>
    <row r="301" spans="1:22">
      <c r="A301" s="138"/>
      <c r="B301" s="139"/>
      <c r="C301" s="138"/>
      <c r="D301" s="138"/>
      <c r="E301" s="138"/>
      <c r="F301" s="138"/>
      <c r="G301" s="139"/>
      <c r="H301" s="139"/>
      <c r="I301" s="138"/>
      <c r="J301" s="138"/>
      <c r="K301" s="138"/>
      <c r="L301" s="138"/>
      <c r="M301" s="139"/>
      <c r="N301" s="138"/>
      <c r="O301" s="138"/>
      <c r="P301" s="138"/>
      <c r="Q301" s="138"/>
      <c r="R301" s="138"/>
      <c r="S301" s="138"/>
      <c r="T301" s="138"/>
      <c r="U301" s="138"/>
      <c r="V301" s="138"/>
    </row>
    <row r="302" spans="1:22">
      <c r="A302" s="138"/>
      <c r="B302" s="139"/>
      <c r="C302" s="138"/>
      <c r="D302" s="138"/>
      <c r="E302" s="138"/>
      <c r="F302" s="138"/>
      <c r="G302" s="139"/>
      <c r="H302" s="139"/>
      <c r="I302" s="138"/>
      <c r="J302" s="138"/>
      <c r="K302" s="138"/>
      <c r="L302" s="138"/>
      <c r="M302" s="139"/>
      <c r="N302" s="138"/>
      <c r="O302" s="138"/>
      <c r="P302" s="138"/>
      <c r="Q302" s="138"/>
      <c r="R302" s="138"/>
      <c r="S302" s="138"/>
      <c r="T302" s="138"/>
      <c r="U302" s="138"/>
      <c r="V302" s="138"/>
    </row>
    <row r="303" spans="1:22">
      <c r="A303" s="138"/>
      <c r="B303" s="139"/>
      <c r="C303" s="138"/>
      <c r="D303" s="138"/>
      <c r="E303" s="138"/>
      <c r="F303" s="138"/>
      <c r="G303" s="139"/>
      <c r="H303" s="139"/>
      <c r="I303" s="138"/>
      <c r="J303" s="138"/>
      <c r="K303" s="138"/>
      <c r="L303" s="138"/>
      <c r="M303" s="139"/>
      <c r="N303" s="138"/>
      <c r="O303" s="138"/>
      <c r="P303" s="138"/>
      <c r="Q303" s="138"/>
      <c r="R303" s="138"/>
      <c r="S303" s="138"/>
      <c r="T303" s="138"/>
      <c r="U303" s="138"/>
      <c r="V303" s="138"/>
    </row>
    <row r="304" spans="1:22">
      <c r="A304" s="138"/>
      <c r="B304" s="139"/>
      <c r="C304" s="138"/>
      <c r="D304" s="138"/>
      <c r="E304" s="138"/>
      <c r="F304" s="138"/>
      <c r="G304" s="139"/>
      <c r="H304" s="139"/>
      <c r="I304" s="138"/>
      <c r="J304" s="138"/>
      <c r="K304" s="138"/>
      <c r="L304" s="138"/>
      <c r="M304" s="139"/>
      <c r="N304" s="138"/>
      <c r="O304" s="138"/>
      <c r="P304" s="138"/>
      <c r="Q304" s="138"/>
      <c r="R304" s="138"/>
      <c r="S304" s="138"/>
      <c r="T304" s="138"/>
      <c r="U304" s="138"/>
      <c r="V304" s="138"/>
    </row>
    <row r="305" spans="1:22">
      <c r="A305" s="138"/>
      <c r="B305" s="139"/>
      <c r="C305" s="138"/>
      <c r="D305" s="138"/>
      <c r="E305" s="138"/>
      <c r="F305" s="138"/>
      <c r="G305" s="139"/>
      <c r="H305" s="139"/>
      <c r="I305" s="138"/>
      <c r="J305" s="138"/>
      <c r="K305" s="138"/>
      <c r="L305" s="138"/>
      <c r="M305" s="139"/>
      <c r="N305" s="138"/>
      <c r="O305" s="138"/>
      <c r="P305" s="138"/>
      <c r="Q305" s="138"/>
      <c r="R305" s="138"/>
      <c r="S305" s="138"/>
      <c r="T305" s="138"/>
      <c r="U305" s="138"/>
      <c r="V305" s="138"/>
    </row>
    <row r="306" spans="1:22">
      <c r="A306" s="138"/>
      <c r="B306" s="139"/>
      <c r="C306" s="138"/>
      <c r="D306" s="138"/>
      <c r="E306" s="138"/>
      <c r="F306" s="138"/>
      <c r="G306" s="139"/>
      <c r="H306" s="139"/>
      <c r="I306" s="138"/>
      <c r="J306" s="138"/>
      <c r="K306" s="138"/>
      <c r="L306" s="138"/>
      <c r="M306" s="139"/>
      <c r="N306" s="138"/>
      <c r="O306" s="138"/>
      <c r="P306" s="138"/>
      <c r="Q306" s="138"/>
      <c r="R306" s="138"/>
      <c r="S306" s="138"/>
      <c r="T306" s="138"/>
      <c r="U306" s="138"/>
      <c r="V306" s="138"/>
    </row>
    <row r="307" spans="1:22">
      <c r="A307" s="138"/>
      <c r="B307" s="139"/>
      <c r="C307" s="138"/>
      <c r="D307" s="138"/>
      <c r="E307" s="138"/>
      <c r="F307" s="138"/>
      <c r="G307" s="139"/>
      <c r="H307" s="139"/>
      <c r="I307" s="138"/>
      <c r="J307" s="138"/>
      <c r="K307" s="138"/>
      <c r="L307" s="138"/>
      <c r="M307" s="139"/>
      <c r="N307" s="138"/>
      <c r="O307" s="138"/>
      <c r="P307" s="138"/>
      <c r="Q307" s="138"/>
      <c r="R307" s="138"/>
      <c r="S307" s="138"/>
      <c r="T307" s="138"/>
      <c r="U307" s="138"/>
      <c r="V307" s="138"/>
    </row>
    <row r="308" spans="1:22">
      <c r="A308" s="138"/>
      <c r="B308" s="139"/>
      <c r="C308" s="138"/>
      <c r="D308" s="138"/>
      <c r="E308" s="138"/>
      <c r="F308" s="138"/>
      <c r="G308" s="139"/>
      <c r="H308" s="139"/>
      <c r="I308" s="138"/>
      <c r="J308" s="138"/>
      <c r="K308" s="138"/>
      <c r="L308" s="138"/>
      <c r="M308" s="139"/>
      <c r="N308" s="138"/>
      <c r="O308" s="138"/>
      <c r="P308" s="138"/>
      <c r="Q308" s="138"/>
      <c r="R308" s="138"/>
      <c r="S308" s="138"/>
      <c r="T308" s="138"/>
      <c r="U308" s="138"/>
      <c r="V308" s="138"/>
    </row>
    <row r="309" spans="1:22">
      <c r="A309" s="138"/>
      <c r="B309" s="139"/>
      <c r="C309" s="138"/>
      <c r="D309" s="138"/>
      <c r="E309" s="138"/>
      <c r="F309" s="138"/>
      <c r="G309" s="139"/>
      <c r="H309" s="139"/>
      <c r="I309" s="138"/>
      <c r="J309" s="138"/>
      <c r="K309" s="138"/>
      <c r="L309" s="138"/>
      <c r="M309" s="139"/>
      <c r="N309" s="138"/>
      <c r="O309" s="138"/>
      <c r="P309" s="138"/>
      <c r="Q309" s="138"/>
      <c r="R309" s="138"/>
      <c r="S309" s="138"/>
      <c r="T309" s="138"/>
      <c r="U309" s="138"/>
      <c r="V309" s="138"/>
    </row>
    <row r="310" spans="1:22">
      <c r="A310" s="138"/>
      <c r="B310" s="139"/>
      <c r="C310" s="138"/>
      <c r="D310" s="138"/>
      <c r="E310" s="138"/>
      <c r="F310" s="138"/>
      <c r="G310" s="139"/>
      <c r="H310" s="139"/>
      <c r="I310" s="138"/>
      <c r="J310" s="138"/>
      <c r="K310" s="138"/>
      <c r="L310" s="138"/>
      <c r="M310" s="139"/>
      <c r="N310" s="138"/>
      <c r="O310" s="138"/>
      <c r="P310" s="138"/>
      <c r="Q310" s="138"/>
      <c r="R310" s="138"/>
      <c r="S310" s="138"/>
      <c r="T310" s="138"/>
      <c r="U310" s="138"/>
      <c r="V310" s="138"/>
    </row>
    <row r="311" spans="1:22">
      <c r="A311" s="138"/>
      <c r="B311" s="139"/>
      <c r="C311" s="138"/>
      <c r="D311" s="138"/>
      <c r="E311" s="138"/>
      <c r="F311" s="138"/>
      <c r="G311" s="139"/>
      <c r="H311" s="139"/>
      <c r="I311" s="138"/>
      <c r="J311" s="138"/>
      <c r="K311" s="138"/>
      <c r="L311" s="138"/>
      <c r="M311" s="139"/>
      <c r="N311" s="138"/>
      <c r="O311" s="138"/>
      <c r="P311" s="138"/>
      <c r="Q311" s="138"/>
      <c r="R311" s="138"/>
      <c r="S311" s="138"/>
      <c r="T311" s="138"/>
      <c r="U311" s="138"/>
      <c r="V311" s="138"/>
    </row>
    <row r="312" spans="1:22">
      <c r="A312" s="138"/>
      <c r="B312" s="139"/>
      <c r="C312" s="138"/>
      <c r="D312" s="138"/>
      <c r="E312" s="138"/>
      <c r="F312" s="138"/>
      <c r="G312" s="139"/>
      <c r="H312" s="139"/>
      <c r="I312" s="138"/>
      <c r="J312" s="138"/>
      <c r="K312" s="138"/>
      <c r="L312" s="138"/>
      <c r="M312" s="139"/>
      <c r="N312" s="138"/>
      <c r="O312" s="138"/>
      <c r="P312" s="138"/>
      <c r="Q312" s="138"/>
      <c r="R312" s="138"/>
      <c r="S312" s="138"/>
      <c r="T312" s="138"/>
      <c r="U312" s="138"/>
      <c r="V312" s="138"/>
    </row>
    <row r="313" spans="1:22">
      <c r="A313" s="138"/>
      <c r="B313" s="139"/>
      <c r="C313" s="138"/>
      <c r="D313" s="138"/>
      <c r="E313" s="138"/>
      <c r="F313" s="138"/>
      <c r="G313" s="139"/>
      <c r="H313" s="139"/>
      <c r="I313" s="138"/>
      <c r="J313" s="138"/>
      <c r="K313" s="138"/>
      <c r="L313" s="138"/>
      <c r="M313" s="139"/>
      <c r="N313" s="138"/>
      <c r="O313" s="138"/>
      <c r="P313" s="138"/>
      <c r="Q313" s="138"/>
      <c r="R313" s="138"/>
      <c r="S313" s="138"/>
      <c r="T313" s="138"/>
      <c r="U313" s="138"/>
      <c r="V313" s="138"/>
    </row>
    <row r="314" spans="1:22">
      <c r="A314" s="138"/>
      <c r="B314" s="139"/>
      <c r="C314" s="138"/>
      <c r="D314" s="138"/>
      <c r="E314" s="138"/>
      <c r="F314" s="138"/>
      <c r="G314" s="139"/>
      <c r="H314" s="139"/>
      <c r="I314" s="138"/>
      <c r="J314" s="138"/>
      <c r="K314" s="138"/>
      <c r="L314" s="138"/>
      <c r="M314" s="139"/>
      <c r="N314" s="138"/>
      <c r="O314" s="138"/>
      <c r="P314" s="138"/>
      <c r="Q314" s="138"/>
      <c r="R314" s="138"/>
      <c r="S314" s="138"/>
      <c r="T314" s="138"/>
      <c r="U314" s="138"/>
      <c r="V314" s="138"/>
    </row>
    <row r="315" spans="1:22">
      <c r="A315" s="138"/>
      <c r="B315" s="139"/>
      <c r="C315" s="138"/>
      <c r="D315" s="138"/>
      <c r="E315" s="138"/>
      <c r="F315" s="138"/>
      <c r="G315" s="139"/>
      <c r="H315" s="139"/>
      <c r="I315" s="138"/>
      <c r="J315" s="138"/>
      <c r="K315" s="138"/>
      <c r="L315" s="138"/>
      <c r="M315" s="139"/>
      <c r="N315" s="138"/>
      <c r="O315" s="138"/>
      <c r="P315" s="138"/>
      <c r="Q315" s="138"/>
      <c r="R315" s="138"/>
      <c r="S315" s="138"/>
      <c r="T315" s="138"/>
      <c r="U315" s="138"/>
      <c r="V315" s="138"/>
    </row>
    <row r="316" spans="1:22">
      <c r="A316" s="138"/>
      <c r="B316" s="139"/>
      <c r="C316" s="138"/>
      <c r="D316" s="138"/>
      <c r="E316" s="138"/>
      <c r="F316" s="138"/>
      <c r="G316" s="139"/>
      <c r="H316" s="139"/>
      <c r="I316" s="138"/>
      <c r="J316" s="138"/>
      <c r="K316" s="138"/>
      <c r="L316" s="138"/>
      <c r="M316" s="139"/>
      <c r="N316" s="138"/>
      <c r="O316" s="138"/>
      <c r="P316" s="138"/>
      <c r="Q316" s="138"/>
      <c r="R316" s="138"/>
      <c r="S316" s="138"/>
      <c r="T316" s="138"/>
      <c r="U316" s="138"/>
      <c r="V316" s="138"/>
    </row>
    <row r="317" spans="1:22">
      <c r="A317" s="138"/>
      <c r="B317" s="139"/>
      <c r="C317" s="138"/>
      <c r="D317" s="138"/>
      <c r="E317" s="138"/>
      <c r="F317" s="138"/>
      <c r="G317" s="139"/>
      <c r="H317" s="139"/>
      <c r="I317" s="138"/>
      <c r="J317" s="138"/>
      <c r="K317" s="138"/>
      <c r="L317" s="138"/>
      <c r="M317" s="139"/>
      <c r="N317" s="138"/>
      <c r="O317" s="138"/>
      <c r="P317" s="138"/>
      <c r="Q317" s="138"/>
      <c r="R317" s="138"/>
      <c r="S317" s="138"/>
      <c r="T317" s="138"/>
      <c r="U317" s="138"/>
      <c r="V317" s="138"/>
    </row>
    <row r="318" spans="1:22">
      <c r="A318" s="138"/>
      <c r="B318" s="139"/>
      <c r="C318" s="138"/>
      <c r="D318" s="138"/>
      <c r="E318" s="138"/>
      <c r="F318" s="138"/>
      <c r="G318" s="139"/>
      <c r="H318" s="139"/>
      <c r="I318" s="138"/>
      <c r="J318" s="138"/>
      <c r="K318" s="138"/>
      <c r="L318" s="138"/>
      <c r="M318" s="139"/>
      <c r="N318" s="138"/>
      <c r="O318" s="138"/>
      <c r="P318" s="138"/>
      <c r="Q318" s="138"/>
      <c r="R318" s="138"/>
      <c r="S318" s="138"/>
      <c r="T318" s="138"/>
      <c r="U318" s="138"/>
      <c r="V318" s="138"/>
    </row>
    <row r="319" spans="1:22">
      <c r="A319" s="138"/>
      <c r="B319" s="139"/>
      <c r="C319" s="138"/>
      <c r="D319" s="138"/>
      <c r="E319" s="138"/>
      <c r="F319" s="138"/>
      <c r="G319" s="139"/>
      <c r="H319" s="139"/>
      <c r="I319" s="138"/>
      <c r="J319" s="138"/>
      <c r="K319" s="138"/>
      <c r="L319" s="138"/>
      <c r="M319" s="139"/>
      <c r="N319" s="138"/>
      <c r="O319" s="138"/>
      <c r="P319" s="138"/>
      <c r="Q319" s="138"/>
      <c r="R319" s="138"/>
      <c r="S319" s="138"/>
      <c r="T319" s="138"/>
      <c r="U319" s="138"/>
      <c r="V319" s="138"/>
    </row>
    <row r="320" spans="1:22">
      <c r="A320" s="138"/>
      <c r="B320" s="139"/>
      <c r="C320" s="138"/>
      <c r="D320" s="138"/>
      <c r="E320" s="138"/>
      <c r="F320" s="138"/>
      <c r="G320" s="139"/>
      <c r="H320" s="139"/>
      <c r="I320" s="138"/>
      <c r="J320" s="138"/>
      <c r="K320" s="138"/>
      <c r="L320" s="138"/>
      <c r="M320" s="139"/>
      <c r="N320" s="138"/>
      <c r="O320" s="138"/>
      <c r="P320" s="138"/>
      <c r="Q320" s="138"/>
      <c r="R320" s="138"/>
      <c r="S320" s="138"/>
      <c r="T320" s="138"/>
      <c r="U320" s="138"/>
      <c r="V320" s="138"/>
    </row>
    <row r="321" spans="1:22">
      <c r="A321" s="138"/>
      <c r="B321" s="139"/>
      <c r="C321" s="138"/>
      <c r="D321" s="138"/>
      <c r="E321" s="138"/>
      <c r="F321" s="138"/>
      <c r="G321" s="139"/>
      <c r="H321" s="139"/>
      <c r="I321" s="138"/>
      <c r="J321" s="138"/>
      <c r="K321" s="138"/>
      <c r="L321" s="138"/>
      <c r="M321" s="139"/>
      <c r="N321" s="138"/>
      <c r="O321" s="138"/>
      <c r="P321" s="138"/>
      <c r="Q321" s="138"/>
      <c r="R321" s="138"/>
      <c r="S321" s="138"/>
      <c r="T321" s="138"/>
      <c r="U321" s="138"/>
      <c r="V321" s="138"/>
    </row>
    <row r="322" spans="1:22">
      <c r="A322" s="138"/>
      <c r="B322" s="139"/>
      <c r="C322" s="138"/>
      <c r="D322" s="138"/>
      <c r="E322" s="138"/>
      <c r="F322" s="138"/>
      <c r="G322" s="139"/>
      <c r="H322" s="139"/>
      <c r="I322" s="138"/>
      <c r="J322" s="138"/>
      <c r="K322" s="138"/>
      <c r="L322" s="138"/>
      <c r="M322" s="139"/>
      <c r="N322" s="138"/>
      <c r="O322" s="138"/>
      <c r="P322" s="138"/>
      <c r="Q322" s="138"/>
      <c r="R322" s="138"/>
      <c r="S322" s="138"/>
      <c r="T322" s="138"/>
      <c r="U322" s="138"/>
      <c r="V322" s="138"/>
    </row>
    <row r="323" spans="1:22">
      <c r="A323" s="138"/>
      <c r="B323" s="139"/>
      <c r="C323" s="138"/>
      <c r="D323" s="138"/>
      <c r="E323" s="138"/>
      <c r="F323" s="138"/>
      <c r="G323" s="139"/>
      <c r="H323" s="139"/>
      <c r="I323" s="138"/>
      <c r="J323" s="138"/>
      <c r="K323" s="138"/>
      <c r="L323" s="138"/>
      <c r="M323" s="139"/>
      <c r="N323" s="138"/>
      <c r="O323" s="138"/>
      <c r="P323" s="138"/>
      <c r="Q323" s="138"/>
      <c r="R323" s="138"/>
      <c r="S323" s="138"/>
      <c r="T323" s="138"/>
      <c r="U323" s="138"/>
      <c r="V323" s="138"/>
    </row>
    <row r="324" spans="1:22">
      <c r="A324" s="138"/>
      <c r="B324" s="139"/>
      <c r="C324" s="138"/>
      <c r="D324" s="138"/>
      <c r="E324" s="138"/>
      <c r="F324" s="138"/>
      <c r="G324" s="139"/>
      <c r="H324" s="139"/>
      <c r="I324" s="138"/>
      <c r="J324" s="138"/>
      <c r="K324" s="138"/>
      <c r="L324" s="138"/>
      <c r="M324" s="139"/>
      <c r="N324" s="138"/>
      <c r="O324" s="138"/>
      <c r="P324" s="138"/>
      <c r="Q324" s="138"/>
      <c r="R324" s="138"/>
      <c r="S324" s="138"/>
      <c r="T324" s="138"/>
      <c r="U324" s="138"/>
      <c r="V324" s="138"/>
    </row>
    <row r="325" spans="1:22">
      <c r="A325" s="138"/>
      <c r="B325" s="139"/>
      <c r="C325" s="138"/>
      <c r="D325" s="138"/>
      <c r="E325" s="138"/>
      <c r="F325" s="138"/>
      <c r="G325" s="139"/>
      <c r="H325" s="139"/>
      <c r="I325" s="138"/>
      <c r="J325" s="138"/>
      <c r="K325" s="138"/>
      <c r="L325" s="138"/>
      <c r="M325" s="139"/>
      <c r="N325" s="138"/>
      <c r="O325" s="138"/>
      <c r="P325" s="138"/>
      <c r="Q325" s="138"/>
      <c r="R325" s="138"/>
      <c r="S325" s="138"/>
      <c r="T325" s="138"/>
      <c r="U325" s="138"/>
      <c r="V325" s="138"/>
    </row>
    <row r="326" spans="1:22">
      <c r="A326" s="138"/>
      <c r="B326" s="139"/>
      <c r="C326" s="138"/>
      <c r="D326" s="138"/>
      <c r="E326" s="138"/>
      <c r="F326" s="138"/>
      <c r="G326" s="139"/>
      <c r="H326" s="139"/>
      <c r="I326" s="138"/>
      <c r="J326" s="138"/>
      <c r="K326" s="138"/>
      <c r="L326" s="138"/>
      <c r="M326" s="139"/>
      <c r="N326" s="138"/>
      <c r="O326" s="138"/>
      <c r="P326" s="138"/>
      <c r="Q326" s="138"/>
      <c r="R326" s="138"/>
      <c r="S326" s="138"/>
      <c r="T326" s="138"/>
      <c r="U326" s="138"/>
      <c r="V326" s="138"/>
    </row>
    <row r="327" spans="1:22">
      <c r="A327" s="138"/>
      <c r="B327" s="139"/>
      <c r="C327" s="138"/>
      <c r="D327" s="138"/>
      <c r="E327" s="138"/>
      <c r="F327" s="138"/>
      <c r="G327" s="139"/>
      <c r="H327" s="139"/>
      <c r="I327" s="138"/>
      <c r="J327" s="138"/>
      <c r="K327" s="138"/>
      <c r="L327" s="138"/>
      <c r="M327" s="139"/>
      <c r="N327" s="138"/>
      <c r="O327" s="138"/>
      <c r="P327" s="138"/>
      <c r="Q327" s="138"/>
      <c r="R327" s="138"/>
      <c r="S327" s="138"/>
      <c r="T327" s="138"/>
      <c r="U327" s="138"/>
      <c r="V327" s="138"/>
    </row>
    <row r="328" spans="1:22">
      <c r="A328" s="138"/>
      <c r="B328" s="139"/>
      <c r="C328" s="138"/>
      <c r="D328" s="138"/>
      <c r="E328" s="138"/>
      <c r="F328" s="138"/>
      <c r="G328" s="139"/>
      <c r="H328" s="139"/>
      <c r="I328" s="138"/>
      <c r="J328" s="138"/>
      <c r="K328" s="138"/>
      <c r="L328" s="138"/>
      <c r="M328" s="139"/>
      <c r="N328" s="138"/>
      <c r="O328" s="138"/>
      <c r="P328" s="138"/>
      <c r="Q328" s="138"/>
      <c r="R328" s="138"/>
      <c r="S328" s="138"/>
      <c r="T328" s="138"/>
      <c r="U328" s="138"/>
      <c r="V328" s="138"/>
    </row>
    <row r="329" spans="1:22">
      <c r="A329" s="138"/>
      <c r="B329" s="139"/>
      <c r="C329" s="138"/>
      <c r="D329" s="138"/>
      <c r="E329" s="138"/>
      <c r="F329" s="138"/>
      <c r="G329" s="139"/>
      <c r="H329" s="139"/>
      <c r="I329" s="138"/>
      <c r="J329" s="138"/>
      <c r="K329" s="138"/>
      <c r="L329" s="138"/>
      <c r="M329" s="139"/>
      <c r="N329" s="138"/>
      <c r="O329" s="138"/>
      <c r="P329" s="138"/>
      <c r="Q329" s="138"/>
      <c r="R329" s="138"/>
      <c r="S329" s="138"/>
      <c r="T329" s="138"/>
      <c r="U329" s="138"/>
      <c r="V329" s="138"/>
    </row>
    <row r="330" spans="1:22">
      <c r="A330" s="138"/>
      <c r="B330" s="139"/>
      <c r="C330" s="138"/>
      <c r="D330" s="138"/>
      <c r="E330" s="138"/>
      <c r="F330" s="138"/>
      <c r="G330" s="139"/>
      <c r="H330" s="139"/>
      <c r="I330" s="138"/>
      <c r="J330" s="138"/>
      <c r="K330" s="138"/>
      <c r="L330" s="138"/>
      <c r="M330" s="139"/>
      <c r="N330" s="138"/>
      <c r="O330" s="138"/>
      <c r="P330" s="138"/>
      <c r="Q330" s="138"/>
      <c r="R330" s="138"/>
      <c r="S330" s="138"/>
      <c r="T330" s="138"/>
      <c r="U330" s="138"/>
      <c r="V330" s="138"/>
    </row>
    <row r="331" spans="1:22">
      <c r="A331" s="138"/>
      <c r="B331" s="139"/>
      <c r="C331" s="138"/>
      <c r="D331" s="138"/>
      <c r="E331" s="138"/>
      <c r="F331" s="138"/>
      <c r="G331" s="139"/>
      <c r="H331" s="139"/>
      <c r="I331" s="138"/>
      <c r="J331" s="138"/>
      <c r="K331" s="138"/>
      <c r="L331" s="138"/>
      <c r="M331" s="139"/>
      <c r="N331" s="138"/>
      <c r="O331" s="138"/>
      <c r="P331" s="138"/>
      <c r="Q331" s="138"/>
      <c r="R331" s="138"/>
      <c r="S331" s="138"/>
      <c r="T331" s="138"/>
      <c r="U331" s="138"/>
      <c r="V331" s="138"/>
    </row>
    <row r="332" spans="1:22">
      <c r="A332" s="138"/>
      <c r="B332" s="139"/>
      <c r="C332" s="138"/>
      <c r="D332" s="138"/>
      <c r="E332" s="138"/>
      <c r="F332" s="138"/>
      <c r="G332" s="139"/>
      <c r="H332" s="139"/>
      <c r="I332" s="138"/>
      <c r="J332" s="138"/>
      <c r="K332" s="138"/>
      <c r="L332" s="138"/>
      <c r="M332" s="139"/>
      <c r="N332" s="138"/>
      <c r="O332" s="138"/>
      <c r="P332" s="138"/>
      <c r="Q332" s="138"/>
      <c r="R332" s="138"/>
      <c r="S332" s="138"/>
      <c r="T332" s="138"/>
      <c r="U332" s="138"/>
      <c r="V332" s="138"/>
    </row>
    <row r="333" spans="1:22">
      <c r="A333" s="138"/>
      <c r="B333" s="139"/>
      <c r="C333" s="138"/>
      <c r="D333" s="138"/>
      <c r="E333" s="138"/>
      <c r="F333" s="138"/>
      <c r="G333" s="139"/>
      <c r="H333" s="139"/>
      <c r="I333" s="138"/>
      <c r="J333" s="138"/>
      <c r="K333" s="138"/>
      <c r="L333" s="138"/>
      <c r="M333" s="139"/>
      <c r="N333" s="138"/>
      <c r="O333" s="138"/>
      <c r="P333" s="138"/>
      <c r="Q333" s="138"/>
      <c r="R333" s="138"/>
      <c r="S333" s="138"/>
      <c r="T333" s="138"/>
      <c r="U333" s="138"/>
      <c r="V333" s="138"/>
    </row>
    <row r="334" spans="1:22">
      <c r="A334" s="138"/>
      <c r="B334" s="139"/>
      <c r="C334" s="138"/>
      <c r="D334" s="138"/>
      <c r="E334" s="138"/>
      <c r="F334" s="138"/>
      <c r="G334" s="139"/>
      <c r="H334" s="139"/>
      <c r="I334" s="138"/>
      <c r="J334" s="138"/>
      <c r="K334" s="138"/>
      <c r="L334" s="138"/>
      <c r="M334" s="139"/>
      <c r="N334" s="138"/>
      <c r="O334" s="138"/>
      <c r="P334" s="138"/>
      <c r="Q334" s="138"/>
      <c r="R334" s="138"/>
      <c r="S334" s="138"/>
      <c r="T334" s="138"/>
      <c r="U334" s="138"/>
      <c r="V334" s="138"/>
    </row>
    <row r="335" spans="1:22">
      <c r="A335" s="138"/>
      <c r="B335" s="139"/>
      <c r="C335" s="138"/>
      <c r="D335" s="138"/>
      <c r="E335" s="138"/>
      <c r="F335" s="138"/>
      <c r="G335" s="139"/>
      <c r="H335" s="139"/>
      <c r="I335" s="138"/>
      <c r="J335" s="138"/>
      <c r="K335" s="138"/>
      <c r="L335" s="138"/>
      <c r="M335" s="139"/>
      <c r="N335" s="138"/>
      <c r="O335" s="138"/>
      <c r="P335" s="138"/>
      <c r="Q335" s="138"/>
      <c r="R335" s="138"/>
      <c r="S335" s="138"/>
      <c r="T335" s="138"/>
      <c r="U335" s="138"/>
      <c r="V335" s="138"/>
    </row>
    <row r="336" spans="1:22">
      <c r="A336" s="138"/>
      <c r="B336" s="139"/>
      <c r="C336" s="138"/>
      <c r="D336" s="138"/>
      <c r="E336" s="138"/>
      <c r="F336" s="138"/>
      <c r="G336" s="139"/>
      <c r="H336" s="139"/>
      <c r="I336" s="138"/>
      <c r="J336" s="138"/>
      <c r="K336" s="138"/>
      <c r="L336" s="138"/>
      <c r="M336" s="139"/>
      <c r="N336" s="138"/>
      <c r="O336" s="138"/>
      <c r="P336" s="138"/>
      <c r="Q336" s="138"/>
      <c r="R336" s="138"/>
      <c r="S336" s="138"/>
      <c r="T336" s="138"/>
      <c r="U336" s="138"/>
      <c r="V336" s="138"/>
    </row>
    <row r="337" spans="1:22">
      <c r="A337" s="138"/>
      <c r="B337" s="139"/>
      <c r="C337" s="138"/>
      <c r="D337" s="138"/>
      <c r="E337" s="138"/>
      <c r="F337" s="138"/>
      <c r="G337" s="139"/>
      <c r="H337" s="139"/>
      <c r="I337" s="138"/>
      <c r="J337" s="138"/>
      <c r="K337" s="138"/>
      <c r="L337" s="138"/>
      <c r="M337" s="139"/>
      <c r="N337" s="138"/>
      <c r="O337" s="138"/>
      <c r="P337" s="138"/>
      <c r="Q337" s="138"/>
      <c r="R337" s="138"/>
      <c r="S337" s="138"/>
      <c r="T337" s="138"/>
      <c r="U337" s="138"/>
      <c r="V337" s="138"/>
    </row>
    <row r="338" spans="1:22">
      <c r="A338" s="138"/>
      <c r="B338" s="139"/>
      <c r="C338" s="138"/>
      <c r="D338" s="138"/>
      <c r="E338" s="138"/>
      <c r="F338" s="138"/>
      <c r="G338" s="139"/>
      <c r="H338" s="139"/>
      <c r="I338" s="138"/>
      <c r="J338" s="138"/>
      <c r="K338" s="138"/>
      <c r="L338" s="138"/>
      <c r="M338" s="139"/>
      <c r="N338" s="138"/>
      <c r="O338" s="138"/>
      <c r="P338" s="138"/>
      <c r="Q338" s="138"/>
      <c r="R338" s="138"/>
      <c r="S338" s="138"/>
      <c r="T338" s="138"/>
      <c r="U338" s="138"/>
      <c r="V338" s="138"/>
    </row>
    <row r="339" spans="1:22">
      <c r="A339" s="138"/>
      <c r="B339" s="139"/>
      <c r="C339" s="138"/>
      <c r="D339" s="138"/>
      <c r="E339" s="138"/>
      <c r="F339" s="138"/>
      <c r="G339" s="139"/>
      <c r="H339" s="139"/>
      <c r="I339" s="138"/>
      <c r="J339" s="138"/>
      <c r="K339" s="138"/>
      <c r="L339" s="138"/>
      <c r="M339" s="139"/>
      <c r="N339" s="138"/>
      <c r="O339" s="138"/>
      <c r="P339" s="138"/>
      <c r="Q339" s="138"/>
      <c r="R339" s="138"/>
      <c r="S339" s="138"/>
      <c r="T339" s="138"/>
      <c r="U339" s="138"/>
      <c r="V339" s="138"/>
    </row>
    <row r="340" spans="1:22">
      <c r="A340" s="138"/>
      <c r="B340" s="139"/>
      <c r="C340" s="138"/>
      <c r="D340" s="138"/>
      <c r="E340" s="138"/>
      <c r="F340" s="138"/>
      <c r="G340" s="139"/>
      <c r="H340" s="139"/>
      <c r="I340" s="138"/>
      <c r="J340" s="138"/>
      <c r="K340" s="138"/>
      <c r="L340" s="138"/>
      <c r="M340" s="139"/>
      <c r="N340" s="138"/>
      <c r="O340" s="138"/>
      <c r="P340" s="138"/>
      <c r="Q340" s="138"/>
      <c r="R340" s="138"/>
      <c r="S340" s="138"/>
      <c r="T340" s="138"/>
      <c r="U340" s="138"/>
      <c r="V340" s="138"/>
    </row>
    <row r="341" spans="1:22">
      <c r="A341" s="138"/>
      <c r="B341" s="139"/>
      <c r="C341" s="138"/>
      <c r="D341" s="138"/>
      <c r="E341" s="138"/>
      <c r="F341" s="138"/>
      <c r="G341" s="139"/>
      <c r="H341" s="139"/>
      <c r="I341" s="138"/>
      <c r="J341" s="138"/>
      <c r="K341" s="138"/>
      <c r="L341" s="138"/>
      <c r="M341" s="139"/>
      <c r="N341" s="138"/>
      <c r="O341" s="138"/>
      <c r="P341" s="138"/>
      <c r="Q341" s="138"/>
      <c r="R341" s="138"/>
      <c r="S341" s="138"/>
      <c r="T341" s="138"/>
      <c r="U341" s="138"/>
      <c r="V341" s="138"/>
    </row>
    <row r="342" spans="1:22">
      <c r="A342" s="138"/>
      <c r="B342" s="139"/>
      <c r="C342" s="138"/>
      <c r="D342" s="138"/>
      <c r="E342" s="138"/>
      <c r="F342" s="138"/>
      <c r="G342" s="139"/>
      <c r="H342" s="139"/>
      <c r="I342" s="138"/>
      <c r="J342" s="138"/>
      <c r="K342" s="138"/>
      <c r="L342" s="138"/>
      <c r="M342" s="139"/>
      <c r="N342" s="138"/>
      <c r="O342" s="138"/>
      <c r="P342" s="138"/>
      <c r="Q342" s="138"/>
      <c r="R342" s="138"/>
      <c r="S342" s="138"/>
      <c r="T342" s="138"/>
      <c r="U342" s="138"/>
      <c r="V342" s="138"/>
    </row>
    <row r="343" spans="1:22">
      <c r="A343" s="138"/>
      <c r="B343" s="139"/>
      <c r="C343" s="138"/>
      <c r="D343" s="138"/>
      <c r="E343" s="138"/>
      <c r="F343" s="138"/>
      <c r="G343" s="139"/>
      <c r="H343" s="139"/>
      <c r="I343" s="138"/>
      <c r="J343" s="138"/>
      <c r="K343" s="138"/>
      <c r="L343" s="138"/>
      <c r="M343" s="139"/>
      <c r="N343" s="138"/>
      <c r="O343" s="138"/>
      <c r="P343" s="138"/>
      <c r="Q343" s="138"/>
      <c r="R343" s="138"/>
      <c r="S343" s="138"/>
      <c r="T343" s="138"/>
      <c r="U343" s="138"/>
      <c r="V343" s="138"/>
    </row>
    <row r="344" spans="1:22">
      <c r="A344" s="138"/>
      <c r="B344" s="139"/>
      <c r="C344" s="138"/>
      <c r="D344" s="138"/>
      <c r="E344" s="138"/>
      <c r="F344" s="138"/>
      <c r="G344" s="139"/>
      <c r="H344" s="139"/>
      <c r="I344" s="138"/>
      <c r="J344" s="138"/>
      <c r="K344" s="138"/>
      <c r="L344" s="138"/>
      <c r="M344" s="139"/>
      <c r="N344" s="138"/>
      <c r="O344" s="138"/>
      <c r="P344" s="138"/>
      <c r="Q344" s="138"/>
      <c r="R344" s="138"/>
      <c r="S344" s="138"/>
      <c r="T344" s="138"/>
      <c r="U344" s="138"/>
      <c r="V344" s="138"/>
    </row>
    <row r="345" spans="1:22">
      <c r="A345" s="138"/>
      <c r="B345" s="139"/>
      <c r="C345" s="138"/>
      <c r="D345" s="138"/>
      <c r="E345" s="138"/>
      <c r="F345" s="138"/>
      <c r="G345" s="139"/>
      <c r="H345" s="139"/>
      <c r="I345" s="138"/>
      <c r="J345" s="138"/>
      <c r="K345" s="138"/>
      <c r="L345" s="138"/>
      <c r="M345" s="139"/>
      <c r="N345" s="138"/>
      <c r="O345" s="138"/>
      <c r="P345" s="138"/>
      <c r="Q345" s="138"/>
      <c r="R345" s="138"/>
      <c r="S345" s="138"/>
      <c r="T345" s="138"/>
      <c r="U345" s="138"/>
      <c r="V345" s="138"/>
    </row>
    <row r="346" spans="1:22">
      <c r="A346" s="138"/>
      <c r="B346" s="139"/>
      <c r="C346" s="138"/>
      <c r="D346" s="138"/>
      <c r="E346" s="138"/>
      <c r="F346" s="138"/>
      <c r="G346" s="139"/>
      <c r="H346" s="139"/>
      <c r="I346" s="138"/>
      <c r="J346" s="138"/>
      <c r="K346" s="138"/>
      <c r="L346" s="138"/>
      <c r="M346" s="139"/>
      <c r="N346" s="138"/>
      <c r="O346" s="138"/>
      <c r="P346" s="138"/>
      <c r="Q346" s="138"/>
      <c r="R346" s="138"/>
      <c r="S346" s="138"/>
      <c r="T346" s="138"/>
      <c r="U346" s="138"/>
      <c r="V346" s="138"/>
    </row>
    <row r="347" spans="1:22">
      <c r="A347" s="138"/>
      <c r="B347" s="139"/>
      <c r="C347" s="138"/>
      <c r="D347" s="138"/>
      <c r="E347" s="138"/>
      <c r="F347" s="138"/>
      <c r="G347" s="139"/>
      <c r="H347" s="139"/>
      <c r="I347" s="138"/>
      <c r="J347" s="138"/>
      <c r="K347" s="138"/>
      <c r="L347" s="138"/>
      <c r="M347" s="139"/>
      <c r="N347" s="138"/>
      <c r="O347" s="138"/>
      <c r="P347" s="138"/>
      <c r="Q347" s="138"/>
      <c r="R347" s="138"/>
      <c r="S347" s="138"/>
      <c r="T347" s="138"/>
      <c r="U347" s="138"/>
      <c r="V347" s="138"/>
    </row>
    <row r="348" spans="1:22">
      <c r="A348" s="138"/>
      <c r="B348" s="139"/>
      <c r="C348" s="138"/>
      <c r="D348" s="138"/>
      <c r="E348" s="138"/>
      <c r="F348" s="138"/>
      <c r="G348" s="139"/>
      <c r="H348" s="139"/>
      <c r="I348" s="138"/>
      <c r="J348" s="138"/>
      <c r="K348" s="138"/>
      <c r="L348" s="138"/>
      <c r="M348" s="139"/>
      <c r="N348" s="138"/>
      <c r="O348" s="138"/>
      <c r="P348" s="138"/>
      <c r="Q348" s="138"/>
      <c r="R348" s="138"/>
      <c r="S348" s="138"/>
      <c r="T348" s="138"/>
      <c r="U348" s="138"/>
      <c r="V348" s="138"/>
    </row>
    <row r="349" spans="1:22">
      <c r="A349" s="138"/>
      <c r="B349" s="139"/>
      <c r="C349" s="138"/>
      <c r="D349" s="138"/>
      <c r="E349" s="138"/>
      <c r="F349" s="138"/>
      <c r="G349" s="139"/>
      <c r="H349" s="139"/>
      <c r="I349" s="138"/>
      <c r="J349" s="138"/>
      <c r="K349" s="138"/>
      <c r="L349" s="138"/>
      <c r="M349" s="139"/>
      <c r="N349" s="138"/>
      <c r="O349" s="138"/>
      <c r="P349" s="138"/>
      <c r="Q349" s="138"/>
      <c r="R349" s="138"/>
      <c r="S349" s="138"/>
      <c r="T349" s="138"/>
      <c r="U349" s="138"/>
      <c r="V349" s="138"/>
    </row>
    <row r="350" spans="1:22">
      <c r="A350" s="138"/>
      <c r="B350" s="139"/>
      <c r="C350" s="138"/>
      <c r="D350" s="138"/>
      <c r="E350" s="138"/>
      <c r="F350" s="138"/>
      <c r="G350" s="139"/>
      <c r="H350" s="139"/>
      <c r="I350" s="138"/>
      <c r="J350" s="138"/>
      <c r="K350" s="138"/>
      <c r="L350" s="138"/>
      <c r="M350" s="139"/>
      <c r="N350" s="138"/>
      <c r="O350" s="138"/>
      <c r="P350" s="138"/>
      <c r="Q350" s="138"/>
      <c r="R350" s="138"/>
      <c r="S350" s="138"/>
      <c r="T350" s="138"/>
      <c r="U350" s="138"/>
      <c r="V350" s="138"/>
    </row>
    <row r="351" spans="1:22">
      <c r="A351" s="138"/>
      <c r="B351" s="139"/>
      <c r="C351" s="138"/>
      <c r="D351" s="138"/>
      <c r="E351" s="138"/>
      <c r="F351" s="138"/>
      <c r="G351" s="139"/>
      <c r="H351" s="139"/>
      <c r="I351" s="138"/>
      <c r="J351" s="138"/>
      <c r="K351" s="138"/>
      <c r="L351" s="138"/>
      <c r="M351" s="139"/>
      <c r="N351" s="138"/>
      <c r="O351" s="138"/>
      <c r="P351" s="138"/>
      <c r="Q351" s="138"/>
      <c r="R351" s="138"/>
      <c r="S351" s="138"/>
      <c r="T351" s="138"/>
      <c r="U351" s="138"/>
      <c r="V351" s="138"/>
    </row>
    <row r="352" spans="1:22">
      <c r="A352" s="138"/>
      <c r="B352" s="139"/>
      <c r="C352" s="138"/>
      <c r="D352" s="138"/>
      <c r="E352" s="138"/>
      <c r="F352" s="138"/>
      <c r="G352" s="139"/>
      <c r="H352" s="139"/>
      <c r="I352" s="138"/>
      <c r="J352" s="138"/>
      <c r="K352" s="138"/>
      <c r="L352" s="138"/>
      <c r="M352" s="139"/>
      <c r="N352" s="138"/>
      <c r="O352" s="138"/>
      <c r="P352" s="138"/>
      <c r="Q352" s="138"/>
      <c r="R352" s="138"/>
      <c r="S352" s="138"/>
      <c r="T352" s="138"/>
      <c r="U352" s="138"/>
      <c r="V352" s="138"/>
    </row>
    <row r="353" spans="1:22">
      <c r="A353" s="138"/>
      <c r="B353" s="139"/>
      <c r="C353" s="138"/>
      <c r="D353" s="138"/>
      <c r="E353" s="138"/>
      <c r="F353" s="138"/>
      <c r="G353" s="139"/>
      <c r="H353" s="139"/>
      <c r="I353" s="138"/>
      <c r="J353" s="138"/>
      <c r="K353" s="138"/>
      <c r="L353" s="138"/>
      <c r="M353" s="139"/>
      <c r="N353" s="138"/>
      <c r="O353" s="138"/>
      <c r="P353" s="138"/>
      <c r="Q353" s="138"/>
      <c r="R353" s="138"/>
      <c r="S353" s="138"/>
      <c r="T353" s="138"/>
      <c r="U353" s="138"/>
      <c r="V353" s="138"/>
    </row>
    <row r="354" spans="1:22">
      <c r="A354" s="138"/>
      <c r="B354" s="139"/>
      <c r="C354" s="138"/>
      <c r="D354" s="138"/>
      <c r="E354" s="138"/>
      <c r="F354" s="138"/>
      <c r="G354" s="139"/>
      <c r="H354" s="139"/>
      <c r="I354" s="138"/>
      <c r="J354" s="138"/>
      <c r="K354" s="138"/>
      <c r="L354" s="138"/>
      <c r="M354" s="139"/>
      <c r="N354" s="138"/>
      <c r="O354" s="138"/>
      <c r="P354" s="138"/>
      <c r="Q354" s="138"/>
      <c r="R354" s="138"/>
      <c r="S354" s="138"/>
      <c r="T354" s="138"/>
      <c r="U354" s="138"/>
      <c r="V354" s="138"/>
    </row>
    <row r="355" spans="1:22">
      <c r="A355" s="138"/>
      <c r="B355" s="139"/>
      <c r="C355" s="138"/>
      <c r="D355" s="138"/>
      <c r="E355" s="138"/>
      <c r="F355" s="138"/>
      <c r="G355" s="139"/>
      <c r="H355" s="139"/>
      <c r="I355" s="138"/>
      <c r="J355" s="138"/>
      <c r="K355" s="138"/>
      <c r="L355" s="138"/>
      <c r="M355" s="139"/>
      <c r="N355" s="138"/>
      <c r="O355" s="138"/>
      <c r="P355" s="138"/>
      <c r="Q355" s="138"/>
      <c r="R355" s="138"/>
      <c r="S355" s="138"/>
      <c r="T355" s="138"/>
      <c r="U355" s="138"/>
      <c r="V355" s="138"/>
    </row>
    <row r="356" spans="1:22">
      <c r="A356" s="138"/>
      <c r="B356" s="139"/>
      <c r="C356" s="138"/>
      <c r="D356" s="138"/>
      <c r="E356" s="138"/>
      <c r="F356" s="138"/>
      <c r="G356" s="139"/>
      <c r="H356" s="139"/>
      <c r="I356" s="138"/>
      <c r="J356" s="138"/>
      <c r="K356" s="138"/>
      <c r="L356" s="138"/>
      <c r="M356" s="139"/>
      <c r="N356" s="138"/>
      <c r="O356" s="138"/>
      <c r="P356" s="138"/>
      <c r="Q356" s="138"/>
      <c r="R356" s="138"/>
      <c r="S356" s="138"/>
      <c r="T356" s="138"/>
      <c r="U356" s="138"/>
      <c r="V356" s="138"/>
    </row>
    <row r="357" spans="1:22">
      <c r="A357" s="138"/>
      <c r="B357" s="139"/>
      <c r="C357" s="138"/>
      <c r="D357" s="138"/>
      <c r="E357" s="138"/>
      <c r="F357" s="138"/>
      <c r="G357" s="139"/>
      <c r="H357" s="139"/>
      <c r="I357" s="138"/>
      <c r="J357" s="138"/>
      <c r="K357" s="138"/>
      <c r="L357" s="138"/>
      <c r="M357" s="139"/>
      <c r="N357" s="138"/>
      <c r="O357" s="138"/>
      <c r="P357" s="138"/>
      <c r="Q357" s="138"/>
      <c r="R357" s="138"/>
      <c r="S357" s="138"/>
      <c r="T357" s="138"/>
      <c r="U357" s="138"/>
      <c r="V357" s="138"/>
    </row>
    <row r="358" spans="1:22">
      <c r="A358" s="138"/>
      <c r="B358" s="139"/>
      <c r="C358" s="138"/>
      <c r="D358" s="138"/>
      <c r="E358" s="138"/>
      <c r="F358" s="138"/>
      <c r="G358" s="139"/>
      <c r="H358" s="139"/>
      <c r="I358" s="138"/>
      <c r="J358" s="138"/>
      <c r="K358" s="138"/>
      <c r="L358" s="138"/>
      <c r="M358" s="139"/>
      <c r="N358" s="138"/>
      <c r="O358" s="138"/>
      <c r="P358" s="138"/>
      <c r="Q358" s="138"/>
      <c r="R358" s="138"/>
      <c r="S358" s="138"/>
      <c r="T358" s="138"/>
      <c r="U358" s="138"/>
      <c r="V358" s="138"/>
    </row>
    <row r="359" spans="1:22">
      <c r="A359" s="138"/>
      <c r="B359" s="139"/>
      <c r="C359" s="138"/>
      <c r="D359" s="138"/>
      <c r="E359" s="138"/>
      <c r="F359" s="138"/>
      <c r="G359" s="139"/>
      <c r="H359" s="139"/>
      <c r="I359" s="138"/>
      <c r="J359" s="138"/>
      <c r="K359" s="138"/>
      <c r="L359" s="138"/>
      <c r="M359" s="139"/>
      <c r="N359" s="138"/>
      <c r="O359" s="138"/>
      <c r="P359" s="138"/>
      <c r="Q359" s="138"/>
      <c r="R359" s="138"/>
      <c r="S359" s="138"/>
      <c r="T359" s="138"/>
      <c r="U359" s="138"/>
      <c r="V359" s="138"/>
    </row>
    <row r="360" spans="1:22">
      <c r="A360" s="138"/>
      <c r="B360" s="139"/>
      <c r="C360" s="138"/>
      <c r="D360" s="138"/>
      <c r="E360" s="138"/>
      <c r="F360" s="138"/>
      <c r="G360" s="139"/>
      <c r="H360" s="139"/>
      <c r="I360" s="138"/>
      <c r="J360" s="138"/>
      <c r="K360" s="138"/>
      <c r="L360" s="138"/>
      <c r="M360" s="139"/>
      <c r="N360" s="138"/>
      <c r="O360" s="138"/>
      <c r="P360" s="138"/>
      <c r="Q360" s="138"/>
      <c r="R360" s="138"/>
      <c r="S360" s="138"/>
      <c r="T360" s="138"/>
      <c r="U360" s="138"/>
      <c r="V360" s="138"/>
    </row>
    <row r="361" spans="1:22">
      <c r="A361" s="138"/>
      <c r="B361" s="139"/>
      <c r="C361" s="138"/>
      <c r="D361" s="138"/>
      <c r="E361" s="138"/>
      <c r="F361" s="138"/>
      <c r="G361" s="139"/>
      <c r="H361" s="139"/>
      <c r="I361" s="138"/>
      <c r="J361" s="138"/>
      <c r="K361" s="138"/>
      <c r="L361" s="138"/>
      <c r="M361" s="139"/>
      <c r="N361" s="138"/>
      <c r="O361" s="138"/>
      <c r="P361" s="138"/>
      <c r="Q361" s="138"/>
      <c r="R361" s="138"/>
      <c r="S361" s="138"/>
      <c r="T361" s="138"/>
      <c r="U361" s="138"/>
      <c r="V361" s="138"/>
    </row>
    <row r="362" spans="1:22">
      <c r="A362" s="138"/>
      <c r="B362" s="139"/>
      <c r="C362" s="138"/>
      <c r="D362" s="138"/>
      <c r="E362" s="138"/>
      <c r="F362" s="138"/>
      <c r="G362" s="139"/>
      <c r="H362" s="139"/>
      <c r="I362" s="138"/>
      <c r="J362" s="138"/>
      <c r="K362" s="138"/>
      <c r="L362" s="138"/>
      <c r="M362" s="139"/>
      <c r="N362" s="138"/>
      <c r="O362" s="138"/>
      <c r="P362" s="138"/>
      <c r="Q362" s="138"/>
      <c r="R362" s="138"/>
      <c r="S362" s="138"/>
      <c r="T362" s="138"/>
      <c r="U362" s="138"/>
      <c r="V362" s="138"/>
    </row>
    <row r="363" spans="1:22">
      <c r="A363" s="138"/>
      <c r="B363" s="139"/>
      <c r="C363" s="138"/>
      <c r="D363" s="138"/>
      <c r="E363" s="138"/>
      <c r="F363" s="138"/>
      <c r="G363" s="139"/>
      <c r="H363" s="139"/>
      <c r="I363" s="138"/>
      <c r="J363" s="138"/>
      <c r="K363" s="138"/>
      <c r="L363" s="138"/>
      <c r="M363" s="139"/>
      <c r="N363" s="138"/>
      <c r="O363" s="138"/>
      <c r="P363" s="138"/>
      <c r="Q363" s="138"/>
      <c r="R363" s="138"/>
      <c r="S363" s="138"/>
      <c r="T363" s="138"/>
      <c r="U363" s="138"/>
      <c r="V363" s="138"/>
    </row>
    <row r="364" spans="1:22">
      <c r="A364" s="138"/>
      <c r="B364" s="139"/>
      <c r="C364" s="138"/>
      <c r="D364" s="138"/>
      <c r="E364" s="138"/>
      <c r="F364" s="138"/>
      <c r="G364" s="139"/>
      <c r="H364" s="139"/>
      <c r="I364" s="138"/>
      <c r="J364" s="138"/>
      <c r="K364" s="138"/>
      <c r="L364" s="138"/>
      <c r="M364" s="139"/>
      <c r="N364" s="138"/>
      <c r="O364" s="138"/>
      <c r="P364" s="138"/>
      <c r="Q364" s="138"/>
      <c r="R364" s="138"/>
      <c r="S364" s="138"/>
      <c r="T364" s="138"/>
      <c r="U364" s="138"/>
      <c r="V364" s="138"/>
    </row>
    <row r="365" spans="1:22">
      <c r="A365" s="138"/>
      <c r="B365" s="139"/>
      <c r="C365" s="138"/>
      <c r="D365" s="138"/>
      <c r="E365" s="138"/>
      <c r="F365" s="138"/>
      <c r="G365" s="139"/>
      <c r="H365" s="139"/>
      <c r="I365" s="138"/>
      <c r="J365" s="138"/>
      <c r="K365" s="138"/>
      <c r="L365" s="138"/>
      <c r="M365" s="139"/>
      <c r="N365" s="138"/>
      <c r="O365" s="138"/>
      <c r="P365" s="138"/>
      <c r="Q365" s="138"/>
      <c r="R365" s="138"/>
      <c r="S365" s="138"/>
      <c r="T365" s="138"/>
      <c r="U365" s="138"/>
      <c r="V365" s="138"/>
    </row>
    <row r="366" spans="1:22">
      <c r="A366" s="138"/>
      <c r="B366" s="139"/>
      <c r="C366" s="138"/>
      <c r="D366" s="138"/>
      <c r="E366" s="138"/>
      <c r="F366" s="138"/>
      <c r="G366" s="139"/>
      <c r="H366" s="139"/>
      <c r="I366" s="138"/>
      <c r="J366" s="138"/>
      <c r="K366" s="138"/>
      <c r="L366" s="138"/>
      <c r="M366" s="139"/>
      <c r="N366" s="138"/>
      <c r="O366" s="138"/>
      <c r="P366" s="138"/>
      <c r="Q366" s="138"/>
      <c r="R366" s="138"/>
      <c r="S366" s="138"/>
      <c r="T366" s="138"/>
      <c r="U366" s="138"/>
      <c r="V366" s="138"/>
    </row>
    <row r="367" spans="1:22">
      <c r="A367" s="138"/>
      <c r="B367" s="139"/>
      <c r="C367" s="138"/>
      <c r="D367" s="138"/>
      <c r="E367" s="138"/>
      <c r="F367" s="138"/>
      <c r="G367" s="139"/>
      <c r="H367" s="139"/>
      <c r="I367" s="138"/>
      <c r="J367" s="138"/>
      <c r="K367" s="138"/>
      <c r="L367" s="138"/>
      <c r="M367" s="139"/>
      <c r="N367" s="138"/>
      <c r="O367" s="138"/>
      <c r="P367" s="138"/>
      <c r="Q367" s="138"/>
      <c r="R367" s="138"/>
      <c r="S367" s="138"/>
      <c r="T367" s="138"/>
      <c r="U367" s="138"/>
      <c r="V367" s="138"/>
    </row>
    <row r="368" spans="1:22">
      <c r="A368" s="138"/>
      <c r="B368" s="139"/>
      <c r="C368" s="138"/>
      <c r="D368" s="138"/>
      <c r="E368" s="138"/>
      <c r="F368" s="138"/>
      <c r="G368" s="139"/>
      <c r="H368" s="139"/>
      <c r="I368" s="138"/>
      <c r="J368" s="138"/>
      <c r="K368" s="138"/>
      <c r="L368" s="138"/>
      <c r="M368" s="139"/>
      <c r="N368" s="138"/>
      <c r="O368" s="138"/>
      <c r="P368" s="138"/>
      <c r="Q368" s="138"/>
      <c r="R368" s="138"/>
      <c r="S368" s="138"/>
      <c r="T368" s="138"/>
      <c r="U368" s="138"/>
      <c r="V368" s="138"/>
    </row>
    <row r="369" spans="1:22">
      <c r="A369" s="138"/>
      <c r="B369" s="139"/>
      <c r="C369" s="138"/>
      <c r="D369" s="138"/>
      <c r="E369" s="138"/>
      <c r="F369" s="138"/>
      <c r="G369" s="139"/>
      <c r="H369" s="139"/>
      <c r="I369" s="138"/>
      <c r="J369" s="138"/>
      <c r="K369" s="138"/>
      <c r="L369" s="138"/>
      <c r="M369" s="139"/>
      <c r="N369" s="138"/>
      <c r="O369" s="138"/>
      <c r="P369" s="138"/>
      <c r="Q369" s="138"/>
      <c r="R369" s="138"/>
      <c r="S369" s="138"/>
      <c r="T369" s="138"/>
      <c r="U369" s="138"/>
      <c r="V369" s="138"/>
    </row>
    <row r="370" spans="1:22">
      <c r="A370" s="138"/>
      <c r="B370" s="139"/>
      <c r="C370" s="138"/>
      <c r="D370" s="138"/>
      <c r="E370" s="138"/>
      <c r="F370" s="138"/>
      <c r="G370" s="139"/>
      <c r="H370" s="139"/>
      <c r="I370" s="138"/>
      <c r="J370" s="138"/>
      <c r="K370" s="138"/>
      <c r="L370" s="138"/>
      <c r="M370" s="139"/>
      <c r="N370" s="138"/>
      <c r="O370" s="138"/>
      <c r="P370" s="138"/>
      <c r="Q370" s="138"/>
      <c r="R370" s="138"/>
      <c r="S370" s="138"/>
      <c r="T370" s="138"/>
      <c r="U370" s="138"/>
      <c r="V370" s="138"/>
    </row>
    <row r="371" spans="1:22">
      <c r="A371" s="138"/>
      <c r="B371" s="139"/>
      <c r="C371" s="138"/>
      <c r="D371" s="138"/>
      <c r="E371" s="138"/>
      <c r="F371" s="138"/>
      <c r="G371" s="139"/>
      <c r="H371" s="139"/>
      <c r="I371" s="138"/>
      <c r="J371" s="138"/>
      <c r="K371" s="138"/>
      <c r="L371" s="138"/>
      <c r="M371" s="139"/>
      <c r="N371" s="138"/>
      <c r="O371" s="138"/>
      <c r="P371" s="138"/>
      <c r="Q371" s="138"/>
      <c r="R371" s="138"/>
      <c r="S371" s="138"/>
      <c r="T371" s="138"/>
      <c r="U371" s="138"/>
      <c r="V371" s="138"/>
    </row>
    <row r="372" spans="1:22">
      <c r="A372" s="138"/>
      <c r="B372" s="139"/>
      <c r="C372" s="138"/>
      <c r="D372" s="138"/>
      <c r="E372" s="138"/>
      <c r="F372" s="138"/>
      <c r="G372" s="139"/>
      <c r="H372" s="139"/>
      <c r="I372" s="138"/>
      <c r="J372" s="138"/>
      <c r="K372" s="138"/>
      <c r="L372" s="138"/>
      <c r="M372" s="139"/>
      <c r="N372" s="138"/>
      <c r="O372" s="138"/>
      <c r="P372" s="138"/>
      <c r="Q372" s="138"/>
      <c r="R372" s="138"/>
      <c r="S372" s="138"/>
      <c r="T372" s="138"/>
      <c r="U372" s="138"/>
      <c r="V372" s="138"/>
    </row>
    <row r="373" spans="1:22">
      <c r="A373" s="138"/>
      <c r="B373" s="139"/>
      <c r="C373" s="138"/>
      <c r="D373" s="138"/>
      <c r="E373" s="138"/>
      <c r="F373" s="138"/>
      <c r="G373" s="139"/>
      <c r="H373" s="139"/>
      <c r="I373" s="138"/>
      <c r="J373" s="138"/>
      <c r="K373" s="138"/>
      <c r="L373" s="138"/>
      <c r="M373" s="139"/>
      <c r="N373" s="138"/>
      <c r="O373" s="138"/>
      <c r="P373" s="138"/>
      <c r="Q373" s="138"/>
      <c r="R373" s="138"/>
      <c r="S373" s="138"/>
      <c r="T373" s="138"/>
      <c r="U373" s="138"/>
      <c r="V373" s="138"/>
    </row>
    <row r="374" spans="1:22">
      <c r="A374" s="138"/>
      <c r="B374" s="139"/>
      <c r="C374" s="138"/>
      <c r="D374" s="138"/>
      <c r="E374" s="138"/>
      <c r="F374" s="138"/>
      <c r="G374" s="139"/>
      <c r="H374" s="139"/>
      <c r="I374" s="138"/>
      <c r="J374" s="138"/>
      <c r="K374" s="138"/>
      <c r="L374" s="138"/>
      <c r="M374" s="139"/>
      <c r="N374" s="138"/>
      <c r="O374" s="138"/>
      <c r="P374" s="138"/>
      <c r="Q374" s="138"/>
      <c r="R374" s="138"/>
      <c r="S374" s="138"/>
      <c r="T374" s="138"/>
      <c r="U374" s="138"/>
      <c r="V374" s="138"/>
    </row>
    <row r="375" spans="1:22">
      <c r="A375" s="138"/>
      <c r="B375" s="139"/>
      <c r="C375" s="138"/>
      <c r="D375" s="138"/>
      <c r="E375" s="138"/>
      <c r="F375" s="138"/>
      <c r="G375" s="139"/>
      <c r="H375" s="139"/>
      <c r="I375" s="138"/>
      <c r="J375" s="138"/>
      <c r="K375" s="138"/>
      <c r="L375" s="138"/>
      <c r="M375" s="139"/>
      <c r="N375" s="138"/>
      <c r="O375" s="138"/>
      <c r="P375" s="138"/>
      <c r="Q375" s="138"/>
      <c r="R375" s="138"/>
      <c r="S375" s="138"/>
      <c r="T375" s="138"/>
      <c r="U375" s="138"/>
      <c r="V375" s="138"/>
    </row>
    <row r="376" spans="1:22">
      <c r="A376" s="138"/>
      <c r="B376" s="139"/>
      <c r="C376" s="138"/>
      <c r="D376" s="138"/>
      <c r="E376" s="138"/>
      <c r="F376" s="138"/>
      <c r="G376" s="139"/>
      <c r="H376" s="139"/>
      <c r="I376" s="138"/>
      <c r="J376" s="138"/>
      <c r="K376" s="138"/>
      <c r="L376" s="138"/>
      <c r="M376" s="139"/>
      <c r="N376" s="138"/>
      <c r="O376" s="138"/>
      <c r="P376" s="138"/>
      <c r="Q376" s="138"/>
      <c r="R376" s="138"/>
      <c r="S376" s="138"/>
      <c r="T376" s="138"/>
      <c r="U376" s="138"/>
      <c r="V376" s="138"/>
    </row>
    <row r="377" spans="1:22">
      <c r="A377" s="138"/>
      <c r="B377" s="139"/>
      <c r="C377" s="138"/>
      <c r="D377" s="138"/>
      <c r="E377" s="138"/>
      <c r="F377" s="138"/>
      <c r="G377" s="139"/>
      <c r="H377" s="139"/>
      <c r="I377" s="138"/>
      <c r="J377" s="138"/>
      <c r="K377" s="138"/>
      <c r="L377" s="138"/>
      <c r="M377" s="139"/>
      <c r="N377" s="138"/>
      <c r="O377" s="138"/>
      <c r="P377" s="138"/>
      <c r="Q377" s="138"/>
      <c r="R377" s="138"/>
      <c r="S377" s="138"/>
      <c r="T377" s="138"/>
      <c r="U377" s="138"/>
      <c r="V377" s="138"/>
    </row>
    <row r="378" spans="1:22">
      <c r="A378" s="138"/>
      <c r="B378" s="139"/>
      <c r="C378" s="138"/>
      <c r="D378" s="138"/>
      <c r="E378" s="138"/>
      <c r="F378" s="138"/>
      <c r="G378" s="139"/>
      <c r="H378" s="139"/>
      <c r="I378" s="138"/>
      <c r="J378" s="138"/>
      <c r="K378" s="138"/>
      <c r="L378" s="138"/>
      <c r="M378" s="139"/>
      <c r="N378" s="138"/>
      <c r="O378" s="138"/>
      <c r="P378" s="138"/>
      <c r="Q378" s="138"/>
      <c r="R378" s="138"/>
      <c r="S378" s="138"/>
      <c r="T378" s="138"/>
      <c r="U378" s="138"/>
      <c r="V378" s="138"/>
    </row>
    <row r="379" spans="1:22">
      <c r="A379" s="138"/>
      <c r="B379" s="139"/>
      <c r="C379" s="138"/>
      <c r="D379" s="138"/>
      <c r="E379" s="138"/>
      <c r="F379" s="138"/>
      <c r="G379" s="139"/>
      <c r="H379" s="139"/>
      <c r="I379" s="138"/>
      <c r="J379" s="138"/>
      <c r="K379" s="138"/>
      <c r="L379" s="138"/>
      <c r="M379" s="139"/>
      <c r="N379" s="138"/>
      <c r="O379" s="138"/>
      <c r="P379" s="138"/>
      <c r="Q379" s="138"/>
      <c r="R379" s="138"/>
      <c r="S379" s="138"/>
      <c r="T379" s="138"/>
      <c r="U379" s="138"/>
      <c r="V379" s="138"/>
    </row>
    <row r="380" spans="1:22">
      <c r="A380" s="138"/>
      <c r="B380" s="139"/>
      <c r="C380" s="138"/>
      <c r="D380" s="138"/>
      <c r="E380" s="138"/>
      <c r="F380" s="138"/>
      <c r="G380" s="139"/>
      <c r="H380" s="139"/>
      <c r="I380" s="138"/>
      <c r="J380" s="138"/>
      <c r="K380" s="138"/>
      <c r="L380" s="138"/>
      <c r="M380" s="139"/>
      <c r="N380" s="138"/>
      <c r="O380" s="138"/>
      <c r="P380" s="138"/>
      <c r="Q380" s="138"/>
      <c r="R380" s="138"/>
      <c r="S380" s="138"/>
      <c r="T380" s="138"/>
      <c r="U380" s="138"/>
      <c r="V380" s="138"/>
    </row>
    <row r="381" spans="1:22">
      <c r="A381" s="138"/>
      <c r="B381" s="139"/>
      <c r="C381" s="138"/>
      <c r="D381" s="138"/>
      <c r="E381" s="138"/>
      <c r="F381" s="138"/>
      <c r="G381" s="139"/>
      <c r="H381" s="139"/>
      <c r="I381" s="138"/>
      <c r="J381" s="138"/>
      <c r="K381" s="138"/>
      <c r="L381" s="138"/>
      <c r="M381" s="139"/>
      <c r="N381" s="138"/>
      <c r="O381" s="138"/>
      <c r="P381" s="138"/>
      <c r="Q381" s="138"/>
      <c r="R381" s="138"/>
      <c r="S381" s="138"/>
      <c r="T381" s="138"/>
      <c r="U381" s="138"/>
      <c r="V381" s="138"/>
    </row>
    <row r="382" spans="1:22">
      <c r="A382" s="138"/>
      <c r="B382" s="139"/>
      <c r="C382" s="138"/>
      <c r="D382" s="138"/>
      <c r="E382" s="138"/>
      <c r="F382" s="138"/>
      <c r="G382" s="139"/>
      <c r="H382" s="139"/>
      <c r="I382" s="138"/>
      <c r="J382" s="138"/>
      <c r="K382" s="138"/>
      <c r="L382" s="138"/>
      <c r="M382" s="139"/>
      <c r="N382" s="138"/>
      <c r="O382" s="138"/>
      <c r="P382" s="138"/>
      <c r="Q382" s="138"/>
      <c r="R382" s="138"/>
      <c r="S382" s="138"/>
      <c r="T382" s="138"/>
      <c r="U382" s="138"/>
      <c r="V382" s="138"/>
    </row>
    <row r="383" spans="1:22">
      <c r="A383" s="138"/>
      <c r="B383" s="139"/>
      <c r="C383" s="138"/>
      <c r="D383" s="138"/>
      <c r="E383" s="138"/>
      <c r="F383" s="138"/>
      <c r="G383" s="139"/>
      <c r="H383" s="139"/>
      <c r="I383" s="138"/>
      <c r="J383" s="138"/>
      <c r="K383" s="138"/>
      <c r="L383" s="138"/>
      <c r="M383" s="139"/>
      <c r="N383" s="138"/>
      <c r="O383" s="138"/>
      <c r="P383" s="138"/>
      <c r="Q383" s="138"/>
      <c r="R383" s="138"/>
      <c r="S383" s="138"/>
      <c r="T383" s="138"/>
      <c r="U383" s="138"/>
      <c r="V383" s="138"/>
    </row>
    <row r="384" spans="1:22">
      <c r="A384" s="138"/>
      <c r="B384" s="139"/>
      <c r="C384" s="138"/>
      <c r="D384" s="138"/>
      <c r="E384" s="138"/>
      <c r="F384" s="138"/>
      <c r="G384" s="139"/>
      <c r="H384" s="139"/>
      <c r="I384" s="138"/>
      <c r="J384" s="138"/>
      <c r="K384" s="138"/>
      <c r="L384" s="138"/>
      <c r="M384" s="139"/>
      <c r="N384" s="138"/>
      <c r="O384" s="138"/>
      <c r="P384" s="138"/>
      <c r="Q384" s="138"/>
      <c r="R384" s="138"/>
      <c r="S384" s="138"/>
      <c r="T384" s="138"/>
      <c r="U384" s="138"/>
      <c r="V384" s="138"/>
    </row>
    <row r="385" spans="1:22">
      <c r="A385" s="138"/>
      <c r="B385" s="139"/>
      <c r="C385" s="138"/>
      <c r="D385" s="138"/>
      <c r="E385" s="138"/>
      <c r="F385" s="138"/>
      <c r="G385" s="139"/>
      <c r="H385" s="139"/>
      <c r="I385" s="138"/>
      <c r="J385" s="138"/>
      <c r="K385" s="138"/>
      <c r="L385" s="138"/>
      <c r="M385" s="139"/>
      <c r="N385" s="138"/>
      <c r="O385" s="138"/>
      <c r="P385" s="138"/>
      <c r="Q385" s="138"/>
      <c r="R385" s="138"/>
      <c r="S385" s="138"/>
      <c r="T385" s="138"/>
      <c r="U385" s="138"/>
      <c r="V385" s="138"/>
    </row>
    <row r="386" spans="1:22">
      <c r="A386" s="138"/>
      <c r="B386" s="139"/>
      <c r="C386" s="138"/>
      <c r="D386" s="138"/>
      <c r="E386" s="138"/>
      <c r="F386" s="138"/>
      <c r="G386" s="139"/>
      <c r="H386" s="139"/>
      <c r="I386" s="138"/>
      <c r="J386" s="138"/>
      <c r="K386" s="138"/>
      <c r="L386" s="138"/>
      <c r="M386" s="139"/>
      <c r="N386" s="138"/>
      <c r="O386" s="138"/>
      <c r="P386" s="138"/>
      <c r="Q386" s="138"/>
      <c r="R386" s="138"/>
      <c r="S386" s="138"/>
      <c r="T386" s="138"/>
      <c r="U386" s="138"/>
      <c r="V386" s="138"/>
    </row>
    <row r="387" spans="1:22">
      <c r="A387" s="138"/>
      <c r="B387" s="139"/>
      <c r="C387" s="138"/>
      <c r="D387" s="138"/>
      <c r="E387" s="138"/>
      <c r="F387" s="138"/>
      <c r="G387" s="139"/>
      <c r="H387" s="139"/>
      <c r="I387" s="138"/>
      <c r="J387" s="138"/>
      <c r="K387" s="138"/>
      <c r="L387" s="138"/>
      <c r="M387" s="139"/>
      <c r="N387" s="138"/>
      <c r="O387" s="138"/>
      <c r="P387" s="138"/>
      <c r="Q387" s="138"/>
      <c r="R387" s="138"/>
      <c r="S387" s="138"/>
      <c r="T387" s="138"/>
      <c r="U387" s="138"/>
      <c r="V387" s="138"/>
    </row>
    <row r="388" spans="1:22">
      <c r="A388" s="138"/>
      <c r="B388" s="139"/>
      <c r="C388" s="138"/>
      <c r="D388" s="138"/>
      <c r="E388" s="138"/>
      <c r="F388" s="138"/>
      <c r="G388" s="139"/>
      <c r="H388" s="139"/>
      <c r="I388" s="138"/>
      <c r="J388" s="138"/>
      <c r="K388" s="138"/>
      <c r="L388" s="138"/>
      <c r="M388" s="139"/>
      <c r="N388" s="138"/>
      <c r="O388" s="138"/>
      <c r="P388" s="138"/>
      <c r="Q388" s="138"/>
      <c r="R388" s="138"/>
      <c r="S388" s="138"/>
      <c r="T388" s="138"/>
      <c r="U388" s="138"/>
      <c r="V388" s="138"/>
    </row>
    <row r="389" spans="1:22">
      <c r="A389" s="138"/>
      <c r="B389" s="139"/>
      <c r="C389" s="138"/>
      <c r="D389" s="138"/>
      <c r="E389" s="138"/>
      <c r="F389" s="138"/>
      <c r="G389" s="139"/>
      <c r="H389" s="139"/>
      <c r="I389" s="138"/>
      <c r="J389" s="138"/>
      <c r="K389" s="138"/>
      <c r="L389" s="138"/>
      <c r="M389" s="139"/>
      <c r="N389" s="138"/>
      <c r="O389" s="138"/>
      <c r="P389" s="138"/>
      <c r="Q389" s="138"/>
      <c r="R389" s="138"/>
      <c r="S389" s="138"/>
      <c r="T389" s="138"/>
      <c r="U389" s="138"/>
      <c r="V389" s="138"/>
    </row>
    <row r="390" spans="1:22">
      <c r="A390" s="138"/>
      <c r="B390" s="139"/>
      <c r="C390" s="138"/>
      <c r="D390" s="138"/>
      <c r="E390" s="138"/>
      <c r="F390" s="138"/>
      <c r="G390" s="139"/>
      <c r="H390" s="139"/>
      <c r="I390" s="138"/>
      <c r="J390" s="138"/>
      <c r="K390" s="138"/>
      <c r="L390" s="138"/>
      <c r="M390" s="139"/>
      <c r="N390" s="138"/>
      <c r="O390" s="138"/>
      <c r="P390" s="138"/>
      <c r="Q390" s="138"/>
      <c r="R390" s="138"/>
      <c r="S390" s="138"/>
      <c r="T390" s="138"/>
      <c r="U390" s="138"/>
      <c r="V390" s="138"/>
    </row>
    <row r="391" spans="1:22">
      <c r="A391" s="138"/>
      <c r="B391" s="139"/>
      <c r="C391" s="138"/>
      <c r="D391" s="138"/>
      <c r="E391" s="138"/>
      <c r="F391" s="138"/>
      <c r="G391" s="139"/>
      <c r="H391" s="139"/>
      <c r="I391" s="138"/>
      <c r="J391" s="138"/>
      <c r="K391" s="138"/>
      <c r="L391" s="138"/>
      <c r="M391" s="139"/>
      <c r="N391" s="138"/>
      <c r="O391" s="138"/>
      <c r="P391" s="138"/>
      <c r="Q391" s="138"/>
      <c r="R391" s="138"/>
      <c r="S391" s="138"/>
      <c r="T391" s="138"/>
      <c r="U391" s="138"/>
      <c r="V391" s="138"/>
    </row>
    <row r="392" spans="1:22">
      <c r="A392" s="138"/>
      <c r="B392" s="139"/>
      <c r="C392" s="138"/>
      <c r="D392" s="138"/>
      <c r="E392" s="138"/>
      <c r="F392" s="138"/>
      <c r="G392" s="139"/>
      <c r="H392" s="139"/>
      <c r="I392" s="138"/>
      <c r="J392" s="138"/>
      <c r="K392" s="138"/>
      <c r="L392" s="138"/>
      <c r="M392" s="139"/>
      <c r="N392" s="138"/>
      <c r="O392" s="138"/>
      <c r="P392" s="138"/>
      <c r="Q392" s="138"/>
      <c r="R392" s="138"/>
      <c r="S392" s="138"/>
      <c r="T392" s="138"/>
      <c r="U392" s="138"/>
      <c r="V392" s="138"/>
    </row>
  </sheetData>
  <autoFilter ref="A1:K1" xr:uid="{FDDEFC24-9708-4FD7-BF68-F1B68EF83719}"/>
  <conditionalFormatting sqref="C1:D1 A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L128"/>
  <sheetViews>
    <sheetView workbookViewId="0">
      <selection activeCell="C21" sqref="C21"/>
    </sheetView>
  </sheetViews>
  <sheetFormatPr baseColWidth="10" defaultRowHeight="12"/>
  <cols>
    <col min="1" max="1" width="12.140625" style="4" bestFit="1" customWidth="1"/>
    <col min="2" max="2" width="12.140625" style="4" customWidth="1"/>
    <col min="3" max="3" width="25" style="4" bestFit="1" customWidth="1"/>
    <col min="4" max="4" width="60.140625" style="4" bestFit="1" customWidth="1"/>
    <col min="5" max="5" width="10.140625" style="4" bestFit="1" customWidth="1"/>
    <col min="6" max="6" width="10.28515625" style="4" bestFit="1" customWidth="1"/>
    <col min="7" max="7" width="9.28515625" style="4" bestFit="1" customWidth="1"/>
    <col min="8" max="8" width="9" style="4" bestFit="1" customWidth="1"/>
    <col min="9" max="9" width="9.7109375" style="4" bestFit="1" customWidth="1"/>
    <col min="10" max="10" width="18" style="4" bestFit="1" customWidth="1"/>
    <col min="11" max="11" width="22" style="4" bestFit="1" customWidth="1"/>
    <col min="12" max="12" width="18" style="4" bestFit="1" customWidth="1"/>
    <col min="13" max="16384" width="11.42578125" style="4"/>
  </cols>
  <sheetData>
    <row r="1" spans="1:12" s="46" customFormat="1">
      <c r="A1" s="43" t="s">
        <v>534</v>
      </c>
      <c r="B1" s="43"/>
      <c r="C1" s="47" t="s">
        <v>326</v>
      </c>
      <c r="D1" s="43" t="s">
        <v>327</v>
      </c>
      <c r="E1" s="44" t="s">
        <v>328</v>
      </c>
      <c r="F1" s="44" t="s">
        <v>329</v>
      </c>
      <c r="G1" s="44" t="s">
        <v>330</v>
      </c>
      <c r="H1" s="45" t="s">
        <v>9</v>
      </c>
      <c r="I1" s="45" t="s">
        <v>10</v>
      </c>
      <c r="J1" s="43" t="s">
        <v>331</v>
      </c>
      <c r="K1" s="43" t="s">
        <v>332</v>
      </c>
      <c r="L1" s="43" t="s">
        <v>333</v>
      </c>
    </row>
    <row r="2" spans="1:12">
      <c r="A2" s="8" t="s">
        <v>537</v>
      </c>
      <c r="B2" s="8"/>
      <c r="C2" s="8" t="s">
        <v>350</v>
      </c>
      <c r="D2" s="8" t="s">
        <v>351</v>
      </c>
      <c r="E2" s="10">
        <v>18014.100999999999</v>
      </c>
      <c r="F2" s="10">
        <v>13213.92</v>
      </c>
      <c r="G2" s="40">
        <f t="shared" ref="G2:G33" si="0">+F2-E2</f>
        <v>-4800.1809999999987</v>
      </c>
      <c r="H2" s="9">
        <v>46204</v>
      </c>
      <c r="I2" s="9">
        <v>46234</v>
      </c>
      <c r="J2" s="8" t="s">
        <v>336</v>
      </c>
      <c r="K2" s="8" t="s">
        <v>347</v>
      </c>
      <c r="L2" s="8" t="s">
        <v>338</v>
      </c>
    </row>
    <row r="3" spans="1:12">
      <c r="A3" s="8" t="s">
        <v>538</v>
      </c>
      <c r="B3" s="8"/>
      <c r="C3" s="8" t="s">
        <v>352</v>
      </c>
      <c r="D3" s="8" t="s">
        <v>353</v>
      </c>
      <c r="E3" s="10">
        <v>24600.181</v>
      </c>
      <c r="F3" s="10">
        <v>19800</v>
      </c>
      <c r="G3" s="40">
        <f t="shared" si="0"/>
        <v>-4800.1810000000005</v>
      </c>
      <c r="H3" s="9">
        <v>46204</v>
      </c>
      <c r="I3" s="9">
        <v>46234</v>
      </c>
      <c r="J3" s="8" t="s">
        <v>336</v>
      </c>
      <c r="K3" s="8" t="s">
        <v>347</v>
      </c>
      <c r="L3" s="8" t="s">
        <v>338</v>
      </c>
    </row>
    <row r="4" spans="1:12">
      <c r="A4" s="8" t="s">
        <v>539</v>
      </c>
      <c r="B4" s="8"/>
      <c r="C4" s="8" t="s">
        <v>535</v>
      </c>
      <c r="D4" s="8" t="s">
        <v>536</v>
      </c>
      <c r="E4" s="10">
        <f>19900+4800.18</f>
        <v>24700.18</v>
      </c>
      <c r="F4" s="10">
        <v>19900</v>
      </c>
      <c r="G4" s="40">
        <f t="shared" si="0"/>
        <v>-4800.18</v>
      </c>
      <c r="H4" s="9">
        <v>46204</v>
      </c>
      <c r="I4" s="9">
        <v>46234</v>
      </c>
      <c r="J4" s="8" t="s">
        <v>336</v>
      </c>
      <c r="K4" s="8" t="s">
        <v>347</v>
      </c>
      <c r="L4" s="8" t="s">
        <v>338</v>
      </c>
    </row>
    <row r="5" spans="1:12">
      <c r="A5" s="8" t="s">
        <v>540</v>
      </c>
      <c r="B5" s="8"/>
      <c r="C5" s="8" t="s">
        <v>359</v>
      </c>
      <c r="D5" s="8" t="s">
        <v>360</v>
      </c>
      <c r="E5" s="10">
        <v>11654.242999999999</v>
      </c>
      <c r="F5" s="10">
        <v>6854.0619999999999</v>
      </c>
      <c r="G5" s="40">
        <f t="shared" si="0"/>
        <v>-4800.1809999999987</v>
      </c>
      <c r="H5" s="9">
        <v>46204</v>
      </c>
      <c r="I5" s="9">
        <v>46234</v>
      </c>
      <c r="J5" s="8" t="s">
        <v>336</v>
      </c>
      <c r="K5" s="8" t="s">
        <v>337</v>
      </c>
      <c r="L5" s="8" t="s">
        <v>338</v>
      </c>
    </row>
    <row r="6" spans="1:12">
      <c r="A6" s="8" t="s">
        <v>541</v>
      </c>
      <c r="B6" s="8"/>
      <c r="C6" s="8" t="s">
        <v>361</v>
      </c>
      <c r="D6" s="8" t="s">
        <v>362</v>
      </c>
      <c r="E6" s="10">
        <v>14803.411</v>
      </c>
      <c r="F6" s="10">
        <v>10003.23</v>
      </c>
      <c r="G6" s="40">
        <f t="shared" si="0"/>
        <v>-4800.1810000000005</v>
      </c>
      <c r="H6" s="9">
        <v>46204</v>
      </c>
      <c r="I6" s="9">
        <v>46234</v>
      </c>
      <c r="J6" s="8" t="s">
        <v>336</v>
      </c>
      <c r="K6" s="8" t="s">
        <v>337</v>
      </c>
      <c r="L6" s="8" t="s">
        <v>338</v>
      </c>
    </row>
    <row r="7" spans="1:12">
      <c r="A7" s="8" t="s">
        <v>542</v>
      </c>
      <c r="B7" s="8"/>
      <c r="C7" s="8" t="s">
        <v>363</v>
      </c>
      <c r="D7" s="8" t="s">
        <v>364</v>
      </c>
      <c r="E7" s="10">
        <v>31317.651000000002</v>
      </c>
      <c r="F7" s="10">
        <v>26517.47</v>
      </c>
      <c r="G7" s="40">
        <f t="shared" si="0"/>
        <v>-4800.1810000000005</v>
      </c>
      <c r="H7" s="9">
        <v>46204</v>
      </c>
      <c r="I7" s="9">
        <v>46234</v>
      </c>
      <c r="J7" s="8" t="s">
        <v>336</v>
      </c>
      <c r="K7" s="8" t="s">
        <v>347</v>
      </c>
      <c r="L7" s="8" t="s">
        <v>338</v>
      </c>
    </row>
    <row r="8" spans="1:12">
      <c r="A8" s="8" t="s">
        <v>543</v>
      </c>
      <c r="B8" s="8"/>
      <c r="C8" s="8" t="s">
        <v>374</v>
      </c>
      <c r="D8" s="8" t="s">
        <v>375</v>
      </c>
      <c r="E8" s="10">
        <v>10913.759999999998</v>
      </c>
      <c r="F8" s="10">
        <v>6113.5789999999997</v>
      </c>
      <c r="G8" s="40">
        <f t="shared" si="0"/>
        <v>-4800.1809999999987</v>
      </c>
      <c r="H8" s="9">
        <v>46204</v>
      </c>
      <c r="I8" s="9">
        <v>46234</v>
      </c>
      <c r="J8" s="8" t="s">
        <v>336</v>
      </c>
      <c r="K8" s="8" t="s">
        <v>347</v>
      </c>
      <c r="L8" s="8" t="s">
        <v>338</v>
      </c>
    </row>
    <row r="9" spans="1:12">
      <c r="A9" s="8" t="s">
        <v>544</v>
      </c>
      <c r="B9" s="8"/>
      <c r="C9" s="8" t="s">
        <v>452</v>
      </c>
      <c r="D9" s="8" t="s">
        <v>453</v>
      </c>
      <c r="E9" s="10">
        <v>15802.710999999999</v>
      </c>
      <c r="F9" s="10">
        <v>11002.53</v>
      </c>
      <c r="G9" s="40">
        <f t="shared" si="0"/>
        <v>-4800.1809999999987</v>
      </c>
      <c r="H9" s="9">
        <v>46204</v>
      </c>
      <c r="I9" s="9">
        <v>46234</v>
      </c>
      <c r="J9" s="8" t="s">
        <v>336</v>
      </c>
      <c r="K9" s="8" t="s">
        <v>398</v>
      </c>
      <c r="L9" s="8" t="s">
        <v>338</v>
      </c>
    </row>
    <row r="10" spans="1:12">
      <c r="A10" s="8" t="s">
        <v>545</v>
      </c>
      <c r="B10" s="8"/>
      <c r="C10" s="8" t="s">
        <v>334</v>
      </c>
      <c r="D10" s="8" t="s">
        <v>335</v>
      </c>
      <c r="E10" s="10">
        <v>13349.124</v>
      </c>
      <c r="F10" s="10">
        <v>8749</v>
      </c>
      <c r="G10" s="40">
        <f t="shared" si="0"/>
        <v>-4600.1239999999998</v>
      </c>
      <c r="H10" s="9">
        <v>46204</v>
      </c>
      <c r="I10" s="9">
        <v>46234</v>
      </c>
      <c r="J10" s="8" t="s">
        <v>336</v>
      </c>
      <c r="K10" s="8" t="s">
        <v>337</v>
      </c>
      <c r="L10" s="8" t="s">
        <v>338</v>
      </c>
    </row>
    <row r="11" spans="1:12">
      <c r="A11" s="8" t="s">
        <v>546</v>
      </c>
      <c r="B11" s="8"/>
      <c r="C11" s="8" t="s">
        <v>354</v>
      </c>
      <c r="D11" s="8" t="s">
        <v>355</v>
      </c>
      <c r="E11" s="10">
        <v>10449.124</v>
      </c>
      <c r="F11" s="10">
        <v>5849</v>
      </c>
      <c r="G11" s="40">
        <f t="shared" si="0"/>
        <v>-4600.1239999999998</v>
      </c>
      <c r="H11" s="9">
        <v>46204</v>
      </c>
      <c r="I11" s="9">
        <v>46234</v>
      </c>
      <c r="J11" s="8" t="s">
        <v>336</v>
      </c>
      <c r="K11" s="8" t="s">
        <v>337</v>
      </c>
      <c r="L11" s="8" t="s">
        <v>338</v>
      </c>
    </row>
    <row r="12" spans="1:12">
      <c r="A12" s="8" t="s">
        <v>547</v>
      </c>
      <c r="B12" s="8"/>
      <c r="C12" s="8" t="s">
        <v>394</v>
      </c>
      <c r="D12" s="8" t="s">
        <v>395</v>
      </c>
      <c r="E12" s="10">
        <v>8151.0209999999997</v>
      </c>
      <c r="F12" s="10">
        <v>3550.8969999999999</v>
      </c>
      <c r="G12" s="40">
        <f t="shared" si="0"/>
        <v>-4600.1239999999998</v>
      </c>
      <c r="H12" s="9">
        <v>46204</v>
      </c>
      <c r="I12" s="9">
        <v>46234</v>
      </c>
      <c r="J12" s="8" t="s">
        <v>336</v>
      </c>
      <c r="K12" s="8" t="s">
        <v>344</v>
      </c>
      <c r="L12" s="8" t="s">
        <v>338</v>
      </c>
    </row>
    <row r="13" spans="1:12">
      <c r="A13" s="8" t="s">
        <v>548</v>
      </c>
      <c r="B13" s="8"/>
      <c r="C13" s="8" t="s">
        <v>532</v>
      </c>
      <c r="D13" s="8" t="s">
        <v>533</v>
      </c>
      <c r="E13" s="10">
        <v>8455.5149999999994</v>
      </c>
      <c r="F13" s="10">
        <v>3855.3910000000001</v>
      </c>
      <c r="G13" s="40">
        <f t="shared" si="0"/>
        <v>-4600.1239999999998</v>
      </c>
      <c r="H13" s="9">
        <v>46204</v>
      </c>
      <c r="I13" s="9">
        <v>46234</v>
      </c>
      <c r="J13" s="8" t="s">
        <v>336</v>
      </c>
      <c r="K13" s="8"/>
      <c r="L13" s="8" t="s">
        <v>338</v>
      </c>
    </row>
    <row r="14" spans="1:12">
      <c r="A14" s="8" t="s">
        <v>549</v>
      </c>
      <c r="B14" s="8"/>
      <c r="C14" s="8" t="s">
        <v>345</v>
      </c>
      <c r="D14" s="8" t="s">
        <v>346</v>
      </c>
      <c r="E14" s="10">
        <v>12118.106</v>
      </c>
      <c r="F14" s="10">
        <v>8615.0159999999996</v>
      </c>
      <c r="G14" s="40">
        <f t="shared" si="0"/>
        <v>-3503.09</v>
      </c>
      <c r="H14" s="9">
        <v>46204</v>
      </c>
      <c r="I14" s="9">
        <v>46234</v>
      </c>
      <c r="J14" s="8" t="s">
        <v>336</v>
      </c>
      <c r="K14" s="8" t="s">
        <v>347</v>
      </c>
      <c r="L14" s="8" t="s">
        <v>338</v>
      </c>
    </row>
    <row r="15" spans="1:12">
      <c r="A15" s="8" t="s">
        <v>550</v>
      </c>
      <c r="B15" s="8"/>
      <c r="C15" s="8" t="s">
        <v>348</v>
      </c>
      <c r="D15" s="8" t="s">
        <v>349</v>
      </c>
      <c r="E15" s="10">
        <v>16494.78</v>
      </c>
      <c r="F15" s="10">
        <v>12991.69</v>
      </c>
      <c r="G15" s="40">
        <f t="shared" si="0"/>
        <v>-3503.0899999999983</v>
      </c>
      <c r="H15" s="9">
        <v>46204</v>
      </c>
      <c r="I15" s="9">
        <v>46234</v>
      </c>
      <c r="J15" s="8" t="s">
        <v>336</v>
      </c>
      <c r="K15" s="8" t="s">
        <v>347</v>
      </c>
      <c r="L15" s="8" t="s">
        <v>338</v>
      </c>
    </row>
    <row r="16" spans="1:12">
      <c r="A16" s="81" t="s">
        <v>551</v>
      </c>
      <c r="B16" s="81"/>
      <c r="C16" s="81" t="s">
        <v>356</v>
      </c>
      <c r="D16" s="81" t="s">
        <v>357</v>
      </c>
      <c r="E16" s="82">
        <v>39416.42</v>
      </c>
      <c r="F16" s="82">
        <v>35913.33</v>
      </c>
      <c r="G16" s="83">
        <f t="shared" si="0"/>
        <v>-3503.0899999999965</v>
      </c>
      <c r="H16" s="84">
        <v>46212</v>
      </c>
      <c r="I16" s="45">
        <v>46234</v>
      </c>
      <c r="J16" s="8" t="s">
        <v>336</v>
      </c>
      <c r="K16" s="8" t="s">
        <v>358</v>
      </c>
      <c r="L16" s="8" t="s">
        <v>338</v>
      </c>
    </row>
    <row r="17" spans="1:12">
      <c r="A17" s="8" t="s">
        <v>552</v>
      </c>
      <c r="B17" s="8"/>
      <c r="C17" s="8" t="s">
        <v>365</v>
      </c>
      <c r="D17" s="8" t="s">
        <v>366</v>
      </c>
      <c r="E17" s="10">
        <v>20304.009999999998</v>
      </c>
      <c r="F17" s="10">
        <v>16800.919999999998</v>
      </c>
      <c r="G17" s="40">
        <f t="shared" si="0"/>
        <v>-3503.09</v>
      </c>
      <c r="H17" s="9">
        <v>46204</v>
      </c>
      <c r="I17" s="9">
        <v>46234</v>
      </c>
      <c r="J17" s="8" t="s">
        <v>336</v>
      </c>
      <c r="K17" s="8" t="s">
        <v>367</v>
      </c>
      <c r="L17" s="8" t="s">
        <v>338</v>
      </c>
    </row>
    <row r="18" spans="1:12">
      <c r="A18" s="8" t="s">
        <v>553</v>
      </c>
      <c r="B18" s="8"/>
      <c r="C18" s="8" t="s">
        <v>376</v>
      </c>
      <c r="D18" s="8" t="s">
        <v>377</v>
      </c>
      <c r="E18" s="10">
        <v>11925.623</v>
      </c>
      <c r="F18" s="10">
        <v>8422.5329999999994</v>
      </c>
      <c r="G18" s="40">
        <f t="shared" si="0"/>
        <v>-3503.09</v>
      </c>
      <c r="H18" s="9">
        <v>46204</v>
      </c>
      <c r="I18" s="9">
        <v>46234</v>
      </c>
      <c r="J18" s="8" t="s">
        <v>336</v>
      </c>
      <c r="K18" s="8" t="s">
        <v>337</v>
      </c>
      <c r="L18" s="8" t="s">
        <v>338</v>
      </c>
    </row>
    <row r="19" spans="1:12">
      <c r="A19" s="8" t="s">
        <v>554</v>
      </c>
      <c r="B19" s="8"/>
      <c r="C19" s="8" t="s">
        <v>396</v>
      </c>
      <c r="D19" s="8" t="s">
        <v>397</v>
      </c>
      <c r="E19" s="10">
        <v>9540.4650000000001</v>
      </c>
      <c r="F19" s="10">
        <v>6037.375</v>
      </c>
      <c r="G19" s="40">
        <f t="shared" si="0"/>
        <v>-3503.09</v>
      </c>
      <c r="H19" s="9">
        <v>46204</v>
      </c>
      <c r="I19" s="9">
        <v>46234</v>
      </c>
      <c r="J19" s="8" t="s">
        <v>336</v>
      </c>
      <c r="K19" s="8" t="s">
        <v>398</v>
      </c>
      <c r="L19" s="8" t="s">
        <v>338</v>
      </c>
    </row>
    <row r="20" spans="1:12">
      <c r="A20" s="8" t="s">
        <v>555</v>
      </c>
      <c r="B20" s="8"/>
      <c r="C20" s="8" t="s">
        <v>399</v>
      </c>
      <c r="D20" s="8" t="s">
        <v>400</v>
      </c>
      <c r="E20" s="10">
        <v>34216.03</v>
      </c>
      <c r="F20" s="10">
        <v>30712.94</v>
      </c>
      <c r="G20" s="40">
        <f t="shared" si="0"/>
        <v>-3503.09</v>
      </c>
      <c r="H20" s="9">
        <v>46204</v>
      </c>
      <c r="I20" s="9">
        <v>46234</v>
      </c>
      <c r="J20" s="8" t="s">
        <v>336</v>
      </c>
      <c r="K20" s="8" t="s">
        <v>398</v>
      </c>
      <c r="L20" s="8" t="s">
        <v>338</v>
      </c>
    </row>
    <row r="21" spans="1:12">
      <c r="A21" s="8" t="s">
        <v>556</v>
      </c>
      <c r="B21" s="8"/>
      <c r="C21" s="8" t="s">
        <v>405</v>
      </c>
      <c r="D21" s="8" t="s">
        <v>406</v>
      </c>
      <c r="E21" s="10">
        <v>16988.09</v>
      </c>
      <c r="F21" s="10">
        <v>13485</v>
      </c>
      <c r="G21" s="40">
        <f t="shared" si="0"/>
        <v>-3503.09</v>
      </c>
      <c r="H21" s="9">
        <v>46204</v>
      </c>
      <c r="I21" s="9">
        <v>46234</v>
      </c>
      <c r="J21" s="8" t="s">
        <v>336</v>
      </c>
      <c r="K21" s="8" t="s">
        <v>407</v>
      </c>
      <c r="L21" s="8" t="s">
        <v>338</v>
      </c>
    </row>
    <row r="22" spans="1:12">
      <c r="A22" s="8" t="s">
        <v>557</v>
      </c>
      <c r="B22" s="8"/>
      <c r="C22" s="8" t="s">
        <v>408</v>
      </c>
      <c r="D22" s="8" t="s">
        <v>409</v>
      </c>
      <c r="E22" s="10">
        <v>14523.09</v>
      </c>
      <c r="F22" s="10">
        <v>11020</v>
      </c>
      <c r="G22" s="40">
        <f t="shared" si="0"/>
        <v>-3503.09</v>
      </c>
      <c r="H22" s="9">
        <v>46204</v>
      </c>
      <c r="I22" s="9">
        <v>46234</v>
      </c>
      <c r="J22" s="8" t="s">
        <v>336</v>
      </c>
      <c r="K22" s="8" t="s">
        <v>407</v>
      </c>
      <c r="L22" s="8" t="s">
        <v>338</v>
      </c>
    </row>
    <row r="23" spans="1:12">
      <c r="A23" s="8" t="s">
        <v>558</v>
      </c>
      <c r="B23" s="8"/>
      <c r="C23" s="8" t="s">
        <v>410</v>
      </c>
      <c r="D23" s="8" t="s">
        <v>411</v>
      </c>
      <c r="E23" s="10">
        <v>14523.09</v>
      </c>
      <c r="F23" s="10">
        <v>11020</v>
      </c>
      <c r="G23" s="40">
        <f t="shared" si="0"/>
        <v>-3503.09</v>
      </c>
      <c r="H23" s="9">
        <v>46204</v>
      </c>
      <c r="I23" s="9">
        <v>46234</v>
      </c>
      <c r="J23" s="8" t="s">
        <v>336</v>
      </c>
      <c r="K23" s="8" t="s">
        <v>407</v>
      </c>
      <c r="L23" s="8" t="s">
        <v>338</v>
      </c>
    </row>
    <row r="24" spans="1:12">
      <c r="A24" s="8" t="s">
        <v>559</v>
      </c>
      <c r="B24" s="8"/>
      <c r="C24" s="8" t="s">
        <v>412</v>
      </c>
      <c r="D24" s="8" t="s">
        <v>413</v>
      </c>
      <c r="E24" s="10">
        <v>14523.09</v>
      </c>
      <c r="F24" s="10">
        <v>11020</v>
      </c>
      <c r="G24" s="40">
        <f t="shared" si="0"/>
        <v>-3503.09</v>
      </c>
      <c r="H24" s="9">
        <v>46204</v>
      </c>
      <c r="I24" s="9">
        <v>46234</v>
      </c>
      <c r="J24" s="8" t="s">
        <v>336</v>
      </c>
      <c r="K24" s="8" t="s">
        <v>407</v>
      </c>
      <c r="L24" s="8" t="s">
        <v>338</v>
      </c>
    </row>
    <row r="25" spans="1:12">
      <c r="A25" s="8" t="s">
        <v>560</v>
      </c>
      <c r="B25" s="8"/>
      <c r="C25" s="8" t="s">
        <v>414</v>
      </c>
      <c r="D25" s="8" t="s">
        <v>415</v>
      </c>
      <c r="E25" s="10">
        <v>14523.09</v>
      </c>
      <c r="F25" s="10">
        <v>11020</v>
      </c>
      <c r="G25" s="40">
        <f t="shared" si="0"/>
        <v>-3503.09</v>
      </c>
      <c r="H25" s="9">
        <v>46204</v>
      </c>
      <c r="I25" s="9">
        <v>46234</v>
      </c>
      <c r="J25" s="8" t="s">
        <v>336</v>
      </c>
      <c r="K25" s="8" t="s">
        <v>407</v>
      </c>
      <c r="L25" s="8" t="s">
        <v>338</v>
      </c>
    </row>
    <row r="26" spans="1:12">
      <c r="A26" s="81" t="s">
        <v>561</v>
      </c>
      <c r="B26" s="81"/>
      <c r="C26" s="81" t="s">
        <v>422</v>
      </c>
      <c r="D26" s="81" t="s">
        <v>423</v>
      </c>
      <c r="E26" s="82">
        <v>46620.13</v>
      </c>
      <c r="F26" s="82">
        <v>43117.04</v>
      </c>
      <c r="G26" s="85">
        <f t="shared" si="0"/>
        <v>-3503.0899999999965</v>
      </c>
      <c r="H26" s="84">
        <v>46212</v>
      </c>
      <c r="I26" s="84">
        <v>46234</v>
      </c>
      <c r="J26" s="8" t="s">
        <v>336</v>
      </c>
      <c r="K26" s="8" t="s">
        <v>358</v>
      </c>
      <c r="L26" s="8" t="s">
        <v>338</v>
      </c>
    </row>
    <row r="27" spans="1:12">
      <c r="A27" s="81" t="s">
        <v>562</v>
      </c>
      <c r="B27" s="81"/>
      <c r="C27" s="81" t="s">
        <v>424</v>
      </c>
      <c r="D27" s="81" t="s">
        <v>425</v>
      </c>
      <c r="E27" s="82">
        <v>19695.88</v>
      </c>
      <c r="F27" s="82">
        <v>16192.79</v>
      </c>
      <c r="G27" s="85">
        <f t="shared" si="0"/>
        <v>-3503.09</v>
      </c>
      <c r="H27" s="84">
        <v>46212</v>
      </c>
      <c r="I27" s="84">
        <v>46234</v>
      </c>
      <c r="J27" s="8" t="s">
        <v>336</v>
      </c>
      <c r="K27" s="8" t="s">
        <v>358</v>
      </c>
      <c r="L27" s="8" t="s">
        <v>338</v>
      </c>
    </row>
    <row r="28" spans="1:12">
      <c r="A28" s="8" t="s">
        <v>563</v>
      </c>
      <c r="B28" s="8"/>
      <c r="C28" s="8" t="s">
        <v>426</v>
      </c>
      <c r="D28" s="8" t="s">
        <v>427</v>
      </c>
      <c r="E28" s="10">
        <v>86588.33</v>
      </c>
      <c r="F28" s="10">
        <v>83085.240000000005</v>
      </c>
      <c r="G28" s="40">
        <f t="shared" si="0"/>
        <v>-3503.0899999999965</v>
      </c>
      <c r="H28" s="9">
        <v>46204</v>
      </c>
      <c r="I28" s="9">
        <v>46234</v>
      </c>
      <c r="J28" s="8" t="s">
        <v>336</v>
      </c>
      <c r="K28" s="8" t="s">
        <v>398</v>
      </c>
      <c r="L28" s="8" t="s">
        <v>338</v>
      </c>
    </row>
    <row r="29" spans="1:12">
      <c r="A29" s="8" t="s">
        <v>564</v>
      </c>
      <c r="B29" s="8"/>
      <c r="C29" s="8" t="s">
        <v>428</v>
      </c>
      <c r="D29" s="8" t="s">
        <v>429</v>
      </c>
      <c r="E29" s="10">
        <v>40023.25</v>
      </c>
      <c r="F29" s="10">
        <v>36520.160000000003</v>
      </c>
      <c r="G29" s="40">
        <f t="shared" si="0"/>
        <v>-3503.0899999999965</v>
      </c>
      <c r="H29" s="9">
        <v>46204</v>
      </c>
      <c r="I29" s="9">
        <v>46234</v>
      </c>
      <c r="J29" s="8" t="s">
        <v>336</v>
      </c>
      <c r="K29" s="8" t="s">
        <v>398</v>
      </c>
      <c r="L29" s="8" t="s">
        <v>338</v>
      </c>
    </row>
    <row r="30" spans="1:12">
      <c r="A30" s="8" t="s">
        <v>565</v>
      </c>
      <c r="B30" s="8"/>
      <c r="C30" s="8" t="s">
        <v>430</v>
      </c>
      <c r="D30" s="8" t="s">
        <v>431</v>
      </c>
      <c r="E30" s="10">
        <v>40024.899999999994</v>
      </c>
      <c r="F30" s="10">
        <v>36521.81</v>
      </c>
      <c r="G30" s="40">
        <f t="shared" si="0"/>
        <v>-3503.0899999999965</v>
      </c>
      <c r="H30" s="9">
        <v>46204</v>
      </c>
      <c r="I30" s="9">
        <v>46234</v>
      </c>
      <c r="J30" s="8" t="s">
        <v>336</v>
      </c>
      <c r="K30" s="8" t="s">
        <v>398</v>
      </c>
      <c r="L30" s="8" t="s">
        <v>338</v>
      </c>
    </row>
    <row r="31" spans="1:12">
      <c r="A31" s="8" t="s">
        <v>566</v>
      </c>
      <c r="B31" s="8"/>
      <c r="C31" s="8" t="s">
        <v>432</v>
      </c>
      <c r="D31" s="8" t="s">
        <v>433</v>
      </c>
      <c r="E31" s="10">
        <v>66592.710000000006</v>
      </c>
      <c r="F31" s="10">
        <v>63089.62</v>
      </c>
      <c r="G31" s="40">
        <f t="shared" si="0"/>
        <v>-3503.0900000000038</v>
      </c>
      <c r="H31" s="9">
        <v>46204</v>
      </c>
      <c r="I31" s="9">
        <v>46234</v>
      </c>
      <c r="J31" s="8" t="s">
        <v>336</v>
      </c>
      <c r="K31" s="8" t="s">
        <v>337</v>
      </c>
      <c r="L31" s="8" t="s">
        <v>338</v>
      </c>
    </row>
    <row r="32" spans="1:12">
      <c r="A32" s="8" t="s">
        <v>567</v>
      </c>
      <c r="B32" s="8"/>
      <c r="C32" s="8" t="s">
        <v>440</v>
      </c>
      <c r="D32" s="8" t="s">
        <v>441</v>
      </c>
      <c r="E32" s="10">
        <v>11870.654</v>
      </c>
      <c r="F32" s="10">
        <v>8367.5640000000003</v>
      </c>
      <c r="G32" s="40">
        <f t="shared" si="0"/>
        <v>-3503.09</v>
      </c>
      <c r="H32" s="9">
        <v>46204</v>
      </c>
      <c r="I32" s="9">
        <v>46234</v>
      </c>
      <c r="J32" s="8" t="s">
        <v>336</v>
      </c>
      <c r="K32" s="8" t="s">
        <v>347</v>
      </c>
      <c r="L32" s="8" t="s">
        <v>338</v>
      </c>
    </row>
    <row r="33" spans="1:12">
      <c r="A33" s="8" t="s">
        <v>568</v>
      </c>
      <c r="B33" s="8"/>
      <c r="C33" s="8" t="s">
        <v>446</v>
      </c>
      <c r="D33" s="8" t="s">
        <v>447</v>
      </c>
      <c r="E33" s="10">
        <v>15564.14</v>
      </c>
      <c r="F33" s="10">
        <v>12061.05</v>
      </c>
      <c r="G33" s="40">
        <f t="shared" si="0"/>
        <v>-3503.09</v>
      </c>
      <c r="H33" s="9">
        <v>46204</v>
      </c>
      <c r="I33" s="9">
        <v>46234</v>
      </c>
      <c r="J33" s="8" t="s">
        <v>336</v>
      </c>
      <c r="K33" s="8" t="s">
        <v>398</v>
      </c>
      <c r="L33" s="8" t="s">
        <v>338</v>
      </c>
    </row>
    <row r="34" spans="1:12">
      <c r="A34" s="8" t="s">
        <v>569</v>
      </c>
      <c r="B34" s="8"/>
      <c r="C34" s="8" t="s">
        <v>448</v>
      </c>
      <c r="D34" s="8" t="s">
        <v>449</v>
      </c>
      <c r="E34" s="10">
        <v>13073.098</v>
      </c>
      <c r="F34" s="10">
        <v>9570.0079999999998</v>
      </c>
      <c r="G34" s="40">
        <f t="shared" ref="G34:G65" si="1">+F34-E34</f>
        <v>-3503.09</v>
      </c>
      <c r="H34" s="9">
        <v>46204</v>
      </c>
      <c r="I34" s="9">
        <v>46234</v>
      </c>
      <c r="J34" s="8" t="s">
        <v>336</v>
      </c>
      <c r="K34" s="8" t="s">
        <v>407</v>
      </c>
      <c r="L34" s="8" t="s">
        <v>338</v>
      </c>
    </row>
    <row r="35" spans="1:12">
      <c r="A35" s="8" t="s">
        <v>570</v>
      </c>
      <c r="B35" s="8"/>
      <c r="C35" s="8" t="s">
        <v>450</v>
      </c>
      <c r="D35" s="8" t="s">
        <v>451</v>
      </c>
      <c r="E35" s="10">
        <v>40024.899999999994</v>
      </c>
      <c r="F35" s="10">
        <v>36521.81</v>
      </c>
      <c r="G35" s="40">
        <f t="shared" si="1"/>
        <v>-3503.0899999999965</v>
      </c>
      <c r="H35" s="9">
        <v>46204</v>
      </c>
      <c r="I35" s="9">
        <v>46234</v>
      </c>
      <c r="J35" s="8" t="s">
        <v>336</v>
      </c>
      <c r="K35" s="8" t="s">
        <v>398</v>
      </c>
      <c r="L35" s="8" t="s">
        <v>338</v>
      </c>
    </row>
    <row r="36" spans="1:12">
      <c r="A36" s="8" t="s">
        <v>571</v>
      </c>
      <c r="B36" s="8"/>
      <c r="C36" s="8" t="s">
        <v>458</v>
      </c>
      <c r="D36" s="8" t="s">
        <v>459</v>
      </c>
      <c r="E36" s="10">
        <v>76060.800000000003</v>
      </c>
      <c r="F36" s="10">
        <v>72557.710000000006</v>
      </c>
      <c r="G36" s="40">
        <f t="shared" si="1"/>
        <v>-3503.0899999999965</v>
      </c>
      <c r="H36" s="9">
        <v>46204</v>
      </c>
      <c r="I36" s="9">
        <v>46234</v>
      </c>
      <c r="J36" s="8" t="s">
        <v>336</v>
      </c>
      <c r="K36" s="8" t="s">
        <v>337</v>
      </c>
      <c r="L36" s="8" t="s">
        <v>338</v>
      </c>
    </row>
    <row r="37" spans="1:12">
      <c r="A37" s="81" t="s">
        <v>572</v>
      </c>
      <c r="B37" s="81"/>
      <c r="C37" s="81" t="s">
        <v>460</v>
      </c>
      <c r="D37" s="81" t="s">
        <v>461</v>
      </c>
      <c r="E37" s="82">
        <v>46622.89</v>
      </c>
      <c r="F37" s="82">
        <v>43119.8</v>
      </c>
      <c r="G37" s="83">
        <f t="shared" si="1"/>
        <v>-3503.0899999999965</v>
      </c>
      <c r="H37" s="84">
        <v>46212</v>
      </c>
      <c r="I37" s="84">
        <v>46234</v>
      </c>
      <c r="J37" s="8" t="s">
        <v>336</v>
      </c>
      <c r="K37" s="8" t="s">
        <v>358</v>
      </c>
      <c r="L37" s="8" t="s">
        <v>338</v>
      </c>
    </row>
    <row r="38" spans="1:12">
      <c r="A38" s="8" t="s">
        <v>573</v>
      </c>
      <c r="B38" s="8"/>
      <c r="C38" s="8" t="s">
        <v>464</v>
      </c>
      <c r="D38" s="8" t="s">
        <v>465</v>
      </c>
      <c r="E38" s="10">
        <v>16135.49</v>
      </c>
      <c r="F38" s="10">
        <v>12632.4</v>
      </c>
      <c r="G38" s="40">
        <f t="shared" si="1"/>
        <v>-3503.09</v>
      </c>
      <c r="H38" s="9">
        <v>46204</v>
      </c>
      <c r="I38" s="9">
        <v>46234</v>
      </c>
      <c r="J38" s="8" t="s">
        <v>336</v>
      </c>
      <c r="K38" s="8" t="s">
        <v>466</v>
      </c>
      <c r="L38" s="8" t="s">
        <v>338</v>
      </c>
    </row>
    <row r="39" spans="1:12">
      <c r="A39" s="8" t="s">
        <v>574</v>
      </c>
      <c r="B39" s="8"/>
      <c r="C39" s="8" t="s">
        <v>472</v>
      </c>
      <c r="D39" s="8" t="s">
        <v>473</v>
      </c>
      <c r="E39" s="10">
        <v>14258.31</v>
      </c>
      <c r="F39" s="10">
        <v>10755.22</v>
      </c>
      <c r="G39" s="40">
        <f t="shared" si="1"/>
        <v>-3503.09</v>
      </c>
      <c r="H39" s="9">
        <v>46204</v>
      </c>
      <c r="I39" s="9">
        <v>46234</v>
      </c>
      <c r="J39" s="8" t="s">
        <v>336</v>
      </c>
      <c r="K39" s="8" t="s">
        <v>398</v>
      </c>
      <c r="L39" s="8" t="s">
        <v>338</v>
      </c>
    </row>
    <row r="40" spans="1:12">
      <c r="A40" s="8" t="s">
        <v>575</v>
      </c>
      <c r="B40" s="8"/>
      <c r="C40" s="8" t="s">
        <v>476</v>
      </c>
      <c r="D40" s="8" t="s">
        <v>477</v>
      </c>
      <c r="E40" s="10">
        <v>13070.73</v>
      </c>
      <c r="F40" s="10">
        <v>9567.64</v>
      </c>
      <c r="G40" s="40">
        <f t="shared" si="1"/>
        <v>-3503.09</v>
      </c>
      <c r="H40" s="9">
        <v>46204</v>
      </c>
      <c r="I40" s="9">
        <v>46234</v>
      </c>
      <c r="J40" s="8" t="s">
        <v>336</v>
      </c>
      <c r="K40" s="8" t="s">
        <v>478</v>
      </c>
      <c r="L40" s="8" t="s">
        <v>338</v>
      </c>
    </row>
    <row r="41" spans="1:12">
      <c r="A41" s="8" t="s">
        <v>576</v>
      </c>
      <c r="B41" s="8"/>
      <c r="C41" s="8" t="s">
        <v>482</v>
      </c>
      <c r="D41" s="8" t="s">
        <v>483</v>
      </c>
      <c r="E41" s="10">
        <v>28076.76</v>
      </c>
      <c r="F41" s="10">
        <v>24573.67</v>
      </c>
      <c r="G41" s="40">
        <f t="shared" si="1"/>
        <v>-3503.09</v>
      </c>
      <c r="H41" s="9">
        <v>46204</v>
      </c>
      <c r="I41" s="9">
        <v>46234</v>
      </c>
      <c r="J41" s="8" t="s">
        <v>336</v>
      </c>
      <c r="K41" s="8" t="s">
        <v>481</v>
      </c>
      <c r="L41" s="8" t="s">
        <v>338</v>
      </c>
    </row>
    <row r="42" spans="1:12">
      <c r="A42" s="8" t="s">
        <v>577</v>
      </c>
      <c r="B42" s="8"/>
      <c r="C42" s="8" t="s">
        <v>484</v>
      </c>
      <c r="D42" s="8" t="s">
        <v>485</v>
      </c>
      <c r="E42" s="10">
        <v>20260.11</v>
      </c>
      <c r="F42" s="10">
        <v>16757.02</v>
      </c>
      <c r="G42" s="40">
        <f t="shared" si="1"/>
        <v>-3503.09</v>
      </c>
      <c r="H42" s="9">
        <v>46204</v>
      </c>
      <c r="I42" s="9">
        <v>46234</v>
      </c>
      <c r="J42" s="8" t="s">
        <v>336</v>
      </c>
      <c r="K42" s="8" t="s">
        <v>347</v>
      </c>
      <c r="L42" s="8" t="s">
        <v>338</v>
      </c>
    </row>
    <row r="43" spans="1:12">
      <c r="A43" s="8" t="s">
        <v>578</v>
      </c>
      <c r="B43" s="8"/>
      <c r="C43" s="8" t="s">
        <v>488</v>
      </c>
      <c r="D43" s="8" t="s">
        <v>489</v>
      </c>
      <c r="E43" s="10">
        <v>16711.21</v>
      </c>
      <c r="F43" s="10">
        <v>13208.12</v>
      </c>
      <c r="G43" s="40">
        <f t="shared" si="1"/>
        <v>-3503.0899999999983</v>
      </c>
      <c r="H43" s="9">
        <v>46204</v>
      </c>
      <c r="I43" s="9">
        <v>46234</v>
      </c>
      <c r="J43" s="8" t="s">
        <v>336</v>
      </c>
      <c r="K43" s="8" t="s">
        <v>398</v>
      </c>
      <c r="L43" s="8" t="s">
        <v>338</v>
      </c>
    </row>
    <row r="44" spans="1:12">
      <c r="A44" s="8" t="s">
        <v>579</v>
      </c>
      <c r="B44" s="8"/>
      <c r="C44" s="8" t="s">
        <v>490</v>
      </c>
      <c r="D44" s="8" t="s">
        <v>491</v>
      </c>
      <c r="E44" s="10">
        <v>16711.21</v>
      </c>
      <c r="F44" s="10">
        <v>13208.12</v>
      </c>
      <c r="G44" s="40">
        <f t="shared" si="1"/>
        <v>-3503.0899999999983</v>
      </c>
      <c r="H44" s="9">
        <v>46204</v>
      </c>
      <c r="I44" s="9">
        <v>46234</v>
      </c>
      <c r="J44" s="8" t="s">
        <v>336</v>
      </c>
      <c r="K44" s="8" t="s">
        <v>398</v>
      </c>
      <c r="L44" s="8" t="s">
        <v>338</v>
      </c>
    </row>
    <row r="45" spans="1:12">
      <c r="A45" s="8" t="s">
        <v>580</v>
      </c>
      <c r="B45" s="8"/>
      <c r="C45" s="8" t="s">
        <v>495</v>
      </c>
      <c r="D45" s="8" t="s">
        <v>496</v>
      </c>
      <c r="E45" s="10">
        <v>19017.599999999999</v>
      </c>
      <c r="F45" s="10">
        <v>15514.51</v>
      </c>
      <c r="G45" s="40">
        <f t="shared" si="1"/>
        <v>-3503.0899999999983</v>
      </c>
      <c r="H45" s="9">
        <v>46204</v>
      </c>
      <c r="I45" s="9">
        <v>46234</v>
      </c>
      <c r="J45" s="8" t="s">
        <v>336</v>
      </c>
      <c r="K45" s="8" t="s">
        <v>367</v>
      </c>
      <c r="L45" s="8" t="s">
        <v>338</v>
      </c>
    </row>
    <row r="46" spans="1:12">
      <c r="A46" s="8" t="s">
        <v>581</v>
      </c>
      <c r="B46" s="8"/>
      <c r="C46" s="8" t="s">
        <v>499</v>
      </c>
      <c r="D46" s="8" t="s">
        <v>500</v>
      </c>
      <c r="E46" s="10">
        <v>20304.009999999998</v>
      </c>
      <c r="F46" s="10">
        <v>16800.919999999998</v>
      </c>
      <c r="G46" s="40">
        <f t="shared" si="1"/>
        <v>-3503.09</v>
      </c>
      <c r="H46" s="9">
        <v>46204</v>
      </c>
      <c r="I46" s="9">
        <v>46234</v>
      </c>
      <c r="J46" s="8" t="s">
        <v>336</v>
      </c>
      <c r="K46" s="8" t="s">
        <v>367</v>
      </c>
      <c r="L46" s="8" t="s">
        <v>338</v>
      </c>
    </row>
    <row r="47" spans="1:12">
      <c r="A47" s="8" t="s">
        <v>582</v>
      </c>
      <c r="B47" s="8"/>
      <c r="C47" s="8" t="s">
        <v>501</v>
      </c>
      <c r="D47" s="8" t="s">
        <v>502</v>
      </c>
      <c r="E47" s="10">
        <v>20304.009999999998</v>
      </c>
      <c r="F47" s="10">
        <v>16800.919999999998</v>
      </c>
      <c r="G47" s="40">
        <f t="shared" si="1"/>
        <v>-3503.09</v>
      </c>
      <c r="H47" s="9">
        <v>46204</v>
      </c>
      <c r="I47" s="9">
        <v>46234</v>
      </c>
      <c r="J47" s="8" t="s">
        <v>336</v>
      </c>
      <c r="K47" s="8" t="s">
        <v>367</v>
      </c>
      <c r="L47" s="8" t="s">
        <v>338</v>
      </c>
    </row>
    <row r="48" spans="1:12">
      <c r="A48" s="8" t="s">
        <v>583</v>
      </c>
      <c r="B48" s="8"/>
      <c r="C48" s="8" t="s">
        <v>503</v>
      </c>
      <c r="D48" s="8" t="s">
        <v>504</v>
      </c>
      <c r="E48" s="10">
        <v>20961.099999999999</v>
      </c>
      <c r="F48" s="10">
        <v>17458.009999999998</v>
      </c>
      <c r="G48" s="40">
        <f t="shared" si="1"/>
        <v>-3503.09</v>
      </c>
      <c r="H48" s="9">
        <v>46204</v>
      </c>
      <c r="I48" s="9">
        <v>46234</v>
      </c>
      <c r="J48" s="8" t="s">
        <v>336</v>
      </c>
      <c r="K48" s="8" t="s">
        <v>466</v>
      </c>
      <c r="L48" s="8" t="s">
        <v>338</v>
      </c>
    </row>
    <row r="49" spans="1:12">
      <c r="A49" s="8" t="s">
        <v>584</v>
      </c>
      <c r="B49" s="8"/>
      <c r="C49" s="8" t="s">
        <v>505</v>
      </c>
      <c r="D49" s="8" t="s">
        <v>506</v>
      </c>
      <c r="E49" s="10">
        <v>70017.61</v>
      </c>
      <c r="F49" s="10">
        <v>66514.52</v>
      </c>
      <c r="G49" s="40">
        <f t="shared" si="1"/>
        <v>-3503.0899999999965</v>
      </c>
      <c r="H49" s="9">
        <v>46204</v>
      </c>
      <c r="I49" s="9">
        <v>46234</v>
      </c>
      <c r="J49" s="8" t="s">
        <v>336</v>
      </c>
      <c r="K49" s="8" t="s">
        <v>507</v>
      </c>
      <c r="L49" s="8" t="s">
        <v>338</v>
      </c>
    </row>
    <row r="50" spans="1:12">
      <c r="A50" s="8" t="s">
        <v>585</v>
      </c>
      <c r="B50" s="8"/>
      <c r="C50" s="8" t="s">
        <v>511</v>
      </c>
      <c r="D50" s="8" t="s">
        <v>512</v>
      </c>
      <c r="E50" s="10">
        <v>17287.169999999998</v>
      </c>
      <c r="F50" s="10">
        <v>13784.08</v>
      </c>
      <c r="G50" s="40">
        <f t="shared" si="1"/>
        <v>-3503.0899999999983</v>
      </c>
      <c r="H50" s="9">
        <v>46204</v>
      </c>
      <c r="I50" s="9">
        <v>46234</v>
      </c>
      <c r="J50" s="8" t="s">
        <v>336</v>
      </c>
      <c r="K50" s="8" t="s">
        <v>513</v>
      </c>
      <c r="L50" s="8" t="s">
        <v>338</v>
      </c>
    </row>
    <row r="51" spans="1:12">
      <c r="A51" s="8" t="s">
        <v>586</v>
      </c>
      <c r="B51" s="8"/>
      <c r="C51" s="8" t="s">
        <v>517</v>
      </c>
      <c r="D51" s="8" t="s">
        <v>518</v>
      </c>
      <c r="E51" s="10">
        <v>20847.09</v>
      </c>
      <c r="F51" s="10">
        <v>17344</v>
      </c>
      <c r="G51" s="40">
        <f t="shared" si="1"/>
        <v>-3503.09</v>
      </c>
      <c r="H51" s="9">
        <v>46204</v>
      </c>
      <c r="I51" s="9">
        <v>46234</v>
      </c>
      <c r="J51" s="8" t="s">
        <v>336</v>
      </c>
      <c r="K51" s="8" t="s">
        <v>513</v>
      </c>
      <c r="L51" s="8" t="s">
        <v>338</v>
      </c>
    </row>
    <row r="52" spans="1:12">
      <c r="A52" s="8" t="s">
        <v>587</v>
      </c>
      <c r="B52" s="8"/>
      <c r="C52" s="8" t="s">
        <v>519</v>
      </c>
      <c r="D52" s="8" t="s">
        <v>520</v>
      </c>
      <c r="E52" s="10">
        <v>11652.742</v>
      </c>
      <c r="F52" s="10">
        <v>8149.652</v>
      </c>
      <c r="G52" s="40">
        <f t="shared" si="1"/>
        <v>-3503.09</v>
      </c>
      <c r="H52" s="9">
        <v>46204</v>
      </c>
      <c r="I52" s="9">
        <v>46234</v>
      </c>
      <c r="J52" s="8" t="s">
        <v>336</v>
      </c>
      <c r="K52" s="8" t="s">
        <v>507</v>
      </c>
      <c r="L52" s="8" t="s">
        <v>338</v>
      </c>
    </row>
    <row r="53" spans="1:12">
      <c r="A53" s="8" t="s">
        <v>588</v>
      </c>
      <c r="B53" s="8"/>
      <c r="C53" s="8" t="s">
        <v>521</v>
      </c>
      <c r="D53" s="8" t="s">
        <v>522</v>
      </c>
      <c r="E53" s="10">
        <v>11652.742</v>
      </c>
      <c r="F53" s="10">
        <v>8149.652</v>
      </c>
      <c r="G53" s="40">
        <f t="shared" si="1"/>
        <v>-3503.09</v>
      </c>
      <c r="H53" s="9">
        <v>46204</v>
      </c>
      <c r="I53" s="9">
        <v>46234</v>
      </c>
      <c r="J53" s="8" t="s">
        <v>336</v>
      </c>
      <c r="K53" s="8" t="s">
        <v>507</v>
      </c>
      <c r="L53" s="8" t="s">
        <v>338</v>
      </c>
    </row>
    <row r="54" spans="1:12">
      <c r="A54" s="8" t="s">
        <v>589</v>
      </c>
      <c r="B54" s="8"/>
      <c r="C54" s="8" t="s">
        <v>530</v>
      </c>
      <c r="D54" s="8" t="s">
        <v>531</v>
      </c>
      <c r="E54" s="10">
        <v>20304.009999999998</v>
      </c>
      <c r="F54" s="10">
        <v>16800.919999999998</v>
      </c>
      <c r="G54" s="40">
        <f t="shared" si="1"/>
        <v>-3503.09</v>
      </c>
      <c r="H54" s="9">
        <v>46204</v>
      </c>
      <c r="I54" s="9">
        <v>46234</v>
      </c>
      <c r="J54" s="8" t="s">
        <v>336</v>
      </c>
      <c r="K54" s="8" t="s">
        <v>367</v>
      </c>
      <c r="L54" s="8" t="s">
        <v>338</v>
      </c>
    </row>
    <row r="55" spans="1:12">
      <c r="A55" s="8" t="s">
        <v>590</v>
      </c>
      <c r="B55" s="8"/>
      <c r="C55" s="8" t="s">
        <v>339</v>
      </c>
      <c r="D55" s="8" t="s">
        <v>340</v>
      </c>
      <c r="E55" s="10">
        <v>13400.928</v>
      </c>
      <c r="F55" s="10">
        <v>9900</v>
      </c>
      <c r="G55" s="40">
        <f t="shared" si="1"/>
        <v>-3500.9279999999999</v>
      </c>
      <c r="H55" s="9">
        <v>46204</v>
      </c>
      <c r="I55" s="9">
        <v>46234</v>
      </c>
      <c r="J55" s="8" t="s">
        <v>336</v>
      </c>
      <c r="K55" s="8" t="s">
        <v>341</v>
      </c>
      <c r="L55" s="8" t="s">
        <v>338</v>
      </c>
    </row>
    <row r="56" spans="1:12">
      <c r="A56" s="8" t="s">
        <v>591</v>
      </c>
      <c r="B56" s="8"/>
      <c r="C56" s="8" t="s">
        <v>342</v>
      </c>
      <c r="D56" s="8" t="s">
        <v>343</v>
      </c>
      <c r="E56" s="10">
        <v>7051.8249999999998</v>
      </c>
      <c r="F56" s="10">
        <v>3550.8969999999999</v>
      </c>
      <c r="G56" s="40">
        <f t="shared" si="1"/>
        <v>-3500.9279999999999</v>
      </c>
      <c r="H56" s="9">
        <v>46204</v>
      </c>
      <c r="I56" s="9">
        <v>46234</v>
      </c>
      <c r="J56" s="8" t="s">
        <v>336</v>
      </c>
      <c r="K56" s="8" t="s">
        <v>344</v>
      </c>
      <c r="L56" s="8" t="s">
        <v>338</v>
      </c>
    </row>
    <row r="57" spans="1:12">
      <c r="A57" s="81" t="s">
        <v>592</v>
      </c>
      <c r="B57" s="81"/>
      <c r="C57" s="81" t="s">
        <v>368</v>
      </c>
      <c r="D57" s="81" t="s">
        <v>369</v>
      </c>
      <c r="E57" s="82">
        <v>13887.34</v>
      </c>
      <c r="F57" s="82">
        <v>10386.41</v>
      </c>
      <c r="G57" s="85">
        <f t="shared" si="1"/>
        <v>-3500.9300000000003</v>
      </c>
      <c r="H57" s="84">
        <v>46212</v>
      </c>
      <c r="I57" s="84">
        <v>46234</v>
      </c>
      <c r="J57" s="43" t="s">
        <v>336</v>
      </c>
      <c r="K57" s="8" t="s">
        <v>358</v>
      </c>
      <c r="L57" s="8" t="s">
        <v>338</v>
      </c>
    </row>
    <row r="58" spans="1:12">
      <c r="A58" s="8" t="s">
        <v>593</v>
      </c>
      <c r="B58" s="8"/>
      <c r="C58" s="8" t="s">
        <v>370</v>
      </c>
      <c r="D58" s="8" t="s">
        <v>371</v>
      </c>
      <c r="E58" s="10">
        <v>11987.954</v>
      </c>
      <c r="F58" s="10">
        <v>8487.0259999999998</v>
      </c>
      <c r="G58" s="40">
        <f t="shared" si="1"/>
        <v>-3500.9279999999999</v>
      </c>
      <c r="H58" s="9">
        <v>46204</v>
      </c>
      <c r="I58" s="9">
        <v>46234</v>
      </c>
      <c r="J58" s="8" t="s">
        <v>336</v>
      </c>
      <c r="K58" s="8" t="s">
        <v>347</v>
      </c>
      <c r="L58" s="8" t="s">
        <v>338</v>
      </c>
    </row>
    <row r="59" spans="1:12">
      <c r="A59" s="8" t="s">
        <v>594</v>
      </c>
      <c r="B59" s="8"/>
      <c r="C59" s="8" t="s">
        <v>372</v>
      </c>
      <c r="D59" s="8" t="s">
        <v>373</v>
      </c>
      <c r="E59" s="10">
        <v>17320.928</v>
      </c>
      <c r="F59" s="10">
        <v>13820</v>
      </c>
      <c r="G59" s="40">
        <f t="shared" si="1"/>
        <v>-3500.9279999999999</v>
      </c>
      <c r="H59" s="9">
        <v>46204</v>
      </c>
      <c r="I59" s="9">
        <v>46234</v>
      </c>
      <c r="J59" s="8" t="s">
        <v>336</v>
      </c>
      <c r="K59" s="8" t="s">
        <v>341</v>
      </c>
      <c r="L59" s="8" t="s">
        <v>338</v>
      </c>
    </row>
    <row r="60" spans="1:12">
      <c r="A60" s="8" t="s">
        <v>595</v>
      </c>
      <c r="B60" s="8"/>
      <c r="C60" s="8" t="s">
        <v>378</v>
      </c>
      <c r="D60" s="8" t="s">
        <v>379</v>
      </c>
      <c r="E60" s="10">
        <v>15261.328</v>
      </c>
      <c r="F60" s="10">
        <v>11760.4</v>
      </c>
      <c r="G60" s="40">
        <f t="shared" si="1"/>
        <v>-3500.9279999999999</v>
      </c>
      <c r="H60" s="9">
        <v>46204</v>
      </c>
      <c r="I60" s="9">
        <v>46234</v>
      </c>
      <c r="J60" s="8" t="s">
        <v>336</v>
      </c>
      <c r="K60" s="8" t="s">
        <v>337</v>
      </c>
      <c r="L60" s="8" t="s">
        <v>338</v>
      </c>
    </row>
    <row r="61" spans="1:12">
      <c r="A61" s="8" t="s">
        <v>596</v>
      </c>
      <c r="B61" s="8"/>
      <c r="C61" s="8" t="s">
        <v>380</v>
      </c>
      <c r="D61" s="8" t="s">
        <v>381</v>
      </c>
      <c r="E61" s="10">
        <v>15060.928</v>
      </c>
      <c r="F61" s="10">
        <v>11560</v>
      </c>
      <c r="G61" s="40">
        <f t="shared" si="1"/>
        <v>-3500.9279999999999</v>
      </c>
      <c r="H61" s="9">
        <v>46204</v>
      </c>
      <c r="I61" s="9">
        <v>46234</v>
      </c>
      <c r="J61" s="8" t="s">
        <v>336</v>
      </c>
      <c r="K61" s="8" t="s">
        <v>341</v>
      </c>
      <c r="L61" s="8" t="s">
        <v>338</v>
      </c>
    </row>
    <row r="62" spans="1:12">
      <c r="A62" s="8" t="s">
        <v>597</v>
      </c>
      <c r="B62" s="8"/>
      <c r="C62" s="8" t="s">
        <v>382</v>
      </c>
      <c r="D62" s="8" t="s">
        <v>383</v>
      </c>
      <c r="E62" s="10">
        <v>15060.928</v>
      </c>
      <c r="F62" s="10">
        <v>11560</v>
      </c>
      <c r="G62" s="40">
        <f t="shared" si="1"/>
        <v>-3500.9279999999999</v>
      </c>
      <c r="H62" s="9">
        <v>46204</v>
      </c>
      <c r="I62" s="9">
        <v>46234</v>
      </c>
      <c r="J62" s="8" t="s">
        <v>336</v>
      </c>
      <c r="K62" s="8" t="s">
        <v>341</v>
      </c>
      <c r="L62" s="8" t="s">
        <v>338</v>
      </c>
    </row>
    <row r="63" spans="1:12">
      <c r="A63" s="8" t="s">
        <v>598</v>
      </c>
      <c r="B63" s="8"/>
      <c r="C63" s="8" t="s">
        <v>384</v>
      </c>
      <c r="D63" s="8" t="s">
        <v>385</v>
      </c>
      <c r="E63" s="10">
        <v>12440.491</v>
      </c>
      <c r="F63" s="10">
        <v>8939.5630000000001</v>
      </c>
      <c r="G63" s="40">
        <f t="shared" si="1"/>
        <v>-3500.9279999999999</v>
      </c>
      <c r="H63" s="9">
        <v>46204</v>
      </c>
      <c r="I63" s="9">
        <v>46234</v>
      </c>
      <c r="J63" s="8" t="s">
        <v>336</v>
      </c>
      <c r="K63" s="8" t="s">
        <v>337</v>
      </c>
      <c r="L63" s="8" t="s">
        <v>338</v>
      </c>
    </row>
    <row r="64" spans="1:12">
      <c r="A64" s="8" t="s">
        <v>599</v>
      </c>
      <c r="B64" s="8"/>
      <c r="C64" s="8" t="s">
        <v>386</v>
      </c>
      <c r="D64" s="8" t="s">
        <v>387</v>
      </c>
      <c r="E64" s="10">
        <v>14290.928</v>
      </c>
      <c r="F64" s="10">
        <v>10790</v>
      </c>
      <c r="G64" s="40">
        <f t="shared" si="1"/>
        <v>-3500.9279999999999</v>
      </c>
      <c r="H64" s="9">
        <v>46204</v>
      </c>
      <c r="I64" s="9">
        <v>46234</v>
      </c>
      <c r="J64" s="8" t="s">
        <v>336</v>
      </c>
      <c r="K64" s="8" t="s">
        <v>341</v>
      </c>
      <c r="L64" s="8" t="s">
        <v>338</v>
      </c>
    </row>
    <row r="65" spans="1:12">
      <c r="A65" s="81" t="s">
        <v>600</v>
      </c>
      <c r="B65" s="81"/>
      <c r="C65" s="81" t="s">
        <v>388</v>
      </c>
      <c r="D65" s="81" t="s">
        <v>389</v>
      </c>
      <c r="E65" s="82">
        <v>14923.78</v>
      </c>
      <c r="F65" s="82">
        <v>11422.85</v>
      </c>
      <c r="G65" s="83">
        <f t="shared" si="1"/>
        <v>-3500.9300000000003</v>
      </c>
      <c r="H65" s="84">
        <v>46212</v>
      </c>
      <c r="I65" s="84">
        <v>46234</v>
      </c>
      <c r="J65" s="8" t="s">
        <v>336</v>
      </c>
      <c r="K65" s="8" t="s">
        <v>358</v>
      </c>
      <c r="L65" s="8" t="s">
        <v>338</v>
      </c>
    </row>
    <row r="66" spans="1:12">
      <c r="A66" s="81" t="s">
        <v>601</v>
      </c>
      <c r="B66" s="81"/>
      <c r="C66" s="81" t="s">
        <v>390</v>
      </c>
      <c r="D66" s="81" t="s">
        <v>391</v>
      </c>
      <c r="E66" s="82">
        <v>14923.78</v>
      </c>
      <c r="F66" s="82">
        <v>11422.85</v>
      </c>
      <c r="G66" s="83">
        <f t="shared" ref="G66:G92" si="2">+F66-E66</f>
        <v>-3500.9300000000003</v>
      </c>
      <c r="H66" s="84">
        <v>46212</v>
      </c>
      <c r="I66" s="84">
        <v>46234</v>
      </c>
      <c r="J66" s="8" t="s">
        <v>336</v>
      </c>
      <c r="K66" s="8" t="s">
        <v>358</v>
      </c>
      <c r="L66" s="8" t="s">
        <v>338</v>
      </c>
    </row>
    <row r="67" spans="1:12">
      <c r="A67" s="81" t="s">
        <v>602</v>
      </c>
      <c r="B67" s="81"/>
      <c r="C67" s="81" t="s">
        <v>392</v>
      </c>
      <c r="D67" s="81" t="s">
        <v>393</v>
      </c>
      <c r="E67" s="82">
        <v>14923.78</v>
      </c>
      <c r="F67" s="82">
        <v>11422.85</v>
      </c>
      <c r="G67" s="83">
        <f t="shared" si="2"/>
        <v>-3500.9300000000003</v>
      </c>
      <c r="H67" s="84">
        <v>46212</v>
      </c>
      <c r="I67" s="84">
        <v>46234</v>
      </c>
      <c r="J67" s="8" t="s">
        <v>336</v>
      </c>
      <c r="K67" s="8" t="s">
        <v>358</v>
      </c>
      <c r="L67" s="8" t="s">
        <v>338</v>
      </c>
    </row>
    <row r="68" spans="1:12">
      <c r="A68" s="8" t="s">
        <v>603</v>
      </c>
      <c r="B68" s="8"/>
      <c r="C68" s="8" t="s">
        <v>401</v>
      </c>
      <c r="D68" s="8" t="s">
        <v>402</v>
      </c>
      <c r="E68" s="10">
        <v>16000.928</v>
      </c>
      <c r="F68" s="10">
        <v>12500</v>
      </c>
      <c r="G68" s="40">
        <f t="shared" si="2"/>
        <v>-3500.9279999999999</v>
      </c>
      <c r="H68" s="9">
        <v>46204</v>
      </c>
      <c r="I68" s="9">
        <v>46234</v>
      </c>
      <c r="J68" s="8" t="s">
        <v>336</v>
      </c>
      <c r="K68" s="8" t="s">
        <v>341</v>
      </c>
      <c r="L68" s="8" t="s">
        <v>338</v>
      </c>
    </row>
    <row r="69" spans="1:12">
      <c r="A69" s="8" t="s">
        <v>604</v>
      </c>
      <c r="B69" s="8"/>
      <c r="C69" s="8" t="s">
        <v>403</v>
      </c>
      <c r="D69" s="8" t="s">
        <v>404</v>
      </c>
      <c r="E69" s="10">
        <v>11868.492</v>
      </c>
      <c r="F69" s="10">
        <v>8367.5640000000003</v>
      </c>
      <c r="G69" s="40">
        <f t="shared" si="2"/>
        <v>-3500.9279999999999</v>
      </c>
      <c r="H69" s="9">
        <v>46204</v>
      </c>
      <c r="I69" s="9">
        <v>46234</v>
      </c>
      <c r="J69" s="8" t="s">
        <v>336</v>
      </c>
      <c r="K69" s="8" t="s">
        <v>347</v>
      </c>
      <c r="L69" s="8" t="s">
        <v>338</v>
      </c>
    </row>
    <row r="70" spans="1:12">
      <c r="A70" s="8" t="s">
        <v>605</v>
      </c>
      <c r="B70" s="8"/>
      <c r="C70" s="8" t="s">
        <v>416</v>
      </c>
      <c r="D70" s="8" t="s">
        <v>417</v>
      </c>
      <c r="E70" s="10">
        <v>15060.928</v>
      </c>
      <c r="F70" s="10">
        <v>11560</v>
      </c>
      <c r="G70" s="40">
        <f t="shared" si="2"/>
        <v>-3500.9279999999999</v>
      </c>
      <c r="H70" s="9">
        <v>46204</v>
      </c>
      <c r="I70" s="9">
        <v>46234</v>
      </c>
      <c r="J70" s="8" t="s">
        <v>336</v>
      </c>
      <c r="K70" s="8" t="s">
        <v>341</v>
      </c>
      <c r="L70" s="8" t="s">
        <v>338</v>
      </c>
    </row>
    <row r="71" spans="1:12">
      <c r="A71" s="8" t="s">
        <v>606</v>
      </c>
      <c r="B71" s="8"/>
      <c r="C71" s="8" t="s">
        <v>418</v>
      </c>
      <c r="D71" s="8" t="s">
        <v>419</v>
      </c>
      <c r="E71" s="10">
        <v>15060.928</v>
      </c>
      <c r="F71" s="10">
        <v>11560</v>
      </c>
      <c r="G71" s="40">
        <f t="shared" si="2"/>
        <v>-3500.9279999999999</v>
      </c>
      <c r="H71" s="9">
        <v>46204</v>
      </c>
      <c r="I71" s="9">
        <v>46234</v>
      </c>
      <c r="J71" s="8" t="s">
        <v>336</v>
      </c>
      <c r="K71" s="8" t="s">
        <v>341</v>
      </c>
      <c r="L71" s="8" t="s">
        <v>338</v>
      </c>
    </row>
    <row r="72" spans="1:12">
      <c r="A72" s="8" t="s">
        <v>607</v>
      </c>
      <c r="B72" s="8"/>
      <c r="C72" s="8" t="s">
        <v>420</v>
      </c>
      <c r="D72" s="8" t="s">
        <v>421</v>
      </c>
      <c r="E72" s="10">
        <v>15060.928</v>
      </c>
      <c r="F72" s="10">
        <v>11560</v>
      </c>
      <c r="G72" s="40">
        <f t="shared" si="2"/>
        <v>-3500.9279999999999</v>
      </c>
      <c r="H72" s="9">
        <v>46204</v>
      </c>
      <c r="I72" s="9">
        <v>46234</v>
      </c>
      <c r="J72" s="8" t="s">
        <v>336</v>
      </c>
      <c r="K72" s="8" t="s">
        <v>341</v>
      </c>
      <c r="L72" s="8" t="s">
        <v>338</v>
      </c>
    </row>
    <row r="73" spans="1:12">
      <c r="A73" s="8" t="s">
        <v>608</v>
      </c>
      <c r="B73" s="8"/>
      <c r="C73" s="8" t="s">
        <v>434</v>
      </c>
      <c r="D73" s="8" t="s">
        <v>435</v>
      </c>
      <c r="E73" s="10">
        <v>8802.023000000001</v>
      </c>
      <c r="F73" s="10">
        <v>5301.0950000000003</v>
      </c>
      <c r="G73" s="40">
        <f t="shared" si="2"/>
        <v>-3500.9280000000008</v>
      </c>
      <c r="H73" s="9">
        <v>46204</v>
      </c>
      <c r="I73" s="9">
        <v>46234</v>
      </c>
      <c r="J73" s="8" t="s">
        <v>336</v>
      </c>
      <c r="K73" s="8" t="s">
        <v>337</v>
      </c>
      <c r="L73" s="8" t="s">
        <v>338</v>
      </c>
    </row>
    <row r="74" spans="1:12">
      <c r="A74" s="8" t="s">
        <v>609</v>
      </c>
      <c r="B74" s="8"/>
      <c r="C74" s="8" t="s">
        <v>436</v>
      </c>
      <c r="D74" s="8" t="s">
        <v>437</v>
      </c>
      <c r="E74" s="10">
        <v>12714.86</v>
      </c>
      <c r="F74" s="10">
        <v>9213.9320000000007</v>
      </c>
      <c r="G74" s="40">
        <f t="shared" si="2"/>
        <v>-3500.9279999999999</v>
      </c>
      <c r="H74" s="9">
        <v>46204</v>
      </c>
      <c r="I74" s="9">
        <v>46234</v>
      </c>
      <c r="J74" s="8" t="s">
        <v>336</v>
      </c>
      <c r="K74" s="8" t="s">
        <v>347</v>
      </c>
      <c r="L74" s="8" t="s">
        <v>338</v>
      </c>
    </row>
    <row r="75" spans="1:12">
      <c r="A75" s="8" t="s">
        <v>610</v>
      </c>
      <c r="B75" s="8"/>
      <c r="C75" s="8" t="s">
        <v>438</v>
      </c>
      <c r="D75" s="8" t="s">
        <v>439</v>
      </c>
      <c r="E75" s="10">
        <v>10939.918</v>
      </c>
      <c r="F75" s="10">
        <v>7438.99</v>
      </c>
      <c r="G75" s="40">
        <f t="shared" si="2"/>
        <v>-3500.9279999999999</v>
      </c>
      <c r="H75" s="9">
        <v>46204</v>
      </c>
      <c r="I75" s="9">
        <v>46234</v>
      </c>
      <c r="J75" s="8" t="s">
        <v>336</v>
      </c>
      <c r="K75" s="8" t="s">
        <v>347</v>
      </c>
      <c r="L75" s="8" t="s">
        <v>338</v>
      </c>
    </row>
    <row r="76" spans="1:12">
      <c r="A76" s="81" t="s">
        <v>611</v>
      </c>
      <c r="B76" s="81"/>
      <c r="C76" s="81" t="s">
        <v>442</v>
      </c>
      <c r="D76" s="81" t="s">
        <v>443</v>
      </c>
      <c r="E76" s="82">
        <v>14923.78</v>
      </c>
      <c r="F76" s="82">
        <v>11422.85</v>
      </c>
      <c r="G76" s="83">
        <f t="shared" si="2"/>
        <v>-3500.9300000000003</v>
      </c>
      <c r="H76" s="84">
        <v>46212</v>
      </c>
      <c r="I76" s="84">
        <v>46234</v>
      </c>
      <c r="J76" s="8" t="s">
        <v>336</v>
      </c>
      <c r="K76" s="8" t="s">
        <v>358</v>
      </c>
      <c r="L76" s="8" t="s">
        <v>338</v>
      </c>
    </row>
    <row r="77" spans="1:12">
      <c r="A77" s="8" t="s">
        <v>612</v>
      </c>
      <c r="B77" s="8"/>
      <c r="C77" s="8" t="s">
        <v>444</v>
      </c>
      <c r="D77" s="8" t="s">
        <v>445</v>
      </c>
      <c r="E77" s="10">
        <v>14699.798000000001</v>
      </c>
      <c r="F77" s="10">
        <v>11198.87</v>
      </c>
      <c r="G77" s="40">
        <f t="shared" si="2"/>
        <v>-3500.9279999999999</v>
      </c>
      <c r="H77" s="9">
        <v>46204</v>
      </c>
      <c r="I77" s="9">
        <v>46234</v>
      </c>
      <c r="J77" s="8" t="s">
        <v>336</v>
      </c>
      <c r="K77" s="8" t="s">
        <v>358</v>
      </c>
      <c r="L77" s="8" t="s">
        <v>338</v>
      </c>
    </row>
    <row r="78" spans="1:12">
      <c r="A78" s="8" t="s">
        <v>613</v>
      </c>
      <c r="B78" s="8"/>
      <c r="C78" s="8" t="s">
        <v>454</v>
      </c>
      <c r="D78" s="8" t="s">
        <v>455</v>
      </c>
      <c r="E78" s="10">
        <v>12714.86</v>
      </c>
      <c r="F78" s="10">
        <v>9213.9320000000007</v>
      </c>
      <c r="G78" s="40">
        <f t="shared" si="2"/>
        <v>-3500.9279999999999</v>
      </c>
      <c r="H78" s="9">
        <v>46204</v>
      </c>
      <c r="I78" s="9">
        <v>46234</v>
      </c>
      <c r="J78" s="8" t="s">
        <v>336</v>
      </c>
      <c r="K78" s="8" t="s">
        <v>347</v>
      </c>
      <c r="L78" s="8" t="s">
        <v>338</v>
      </c>
    </row>
    <row r="79" spans="1:12">
      <c r="A79" s="8" t="s">
        <v>614</v>
      </c>
      <c r="B79" s="8"/>
      <c r="C79" s="8" t="s">
        <v>456</v>
      </c>
      <c r="D79" s="8" t="s">
        <v>457</v>
      </c>
      <c r="E79" s="10">
        <v>12714.86</v>
      </c>
      <c r="F79" s="10">
        <v>9213.9320000000007</v>
      </c>
      <c r="G79" s="40">
        <f t="shared" si="2"/>
        <v>-3500.9279999999999</v>
      </c>
      <c r="H79" s="9">
        <v>46204</v>
      </c>
      <c r="I79" s="9">
        <v>46234</v>
      </c>
      <c r="J79" s="8" t="s">
        <v>336</v>
      </c>
      <c r="K79" s="8" t="s">
        <v>347</v>
      </c>
      <c r="L79" s="8" t="s">
        <v>338</v>
      </c>
    </row>
    <row r="80" spans="1:12">
      <c r="A80" s="8" t="s">
        <v>615</v>
      </c>
      <c r="B80" s="8"/>
      <c r="C80" s="8" t="s">
        <v>462</v>
      </c>
      <c r="D80" s="8" t="s">
        <v>463</v>
      </c>
      <c r="E80" s="10">
        <v>15880.928</v>
      </c>
      <c r="F80" s="10">
        <v>12380</v>
      </c>
      <c r="G80" s="40">
        <f t="shared" si="2"/>
        <v>-3500.9279999999999</v>
      </c>
      <c r="H80" s="9">
        <v>46204</v>
      </c>
      <c r="I80" s="9">
        <v>46234</v>
      </c>
      <c r="J80" s="8" t="s">
        <v>336</v>
      </c>
      <c r="K80" s="8" t="s">
        <v>341</v>
      </c>
      <c r="L80" s="8" t="s">
        <v>338</v>
      </c>
    </row>
    <row r="81" spans="1:12">
      <c r="A81" s="8" t="s">
        <v>616</v>
      </c>
      <c r="B81" s="8"/>
      <c r="C81" s="8" t="s">
        <v>467</v>
      </c>
      <c r="D81" s="8" t="s">
        <v>468</v>
      </c>
      <c r="E81" s="10">
        <v>17275.928</v>
      </c>
      <c r="F81" s="10">
        <v>13775</v>
      </c>
      <c r="G81" s="40">
        <f t="shared" si="2"/>
        <v>-3500.9279999999999</v>
      </c>
      <c r="H81" s="9">
        <v>46204</v>
      </c>
      <c r="I81" s="9">
        <v>46234</v>
      </c>
      <c r="J81" s="8" t="s">
        <v>336</v>
      </c>
      <c r="K81" s="8" t="s">
        <v>469</v>
      </c>
      <c r="L81" s="8" t="s">
        <v>338</v>
      </c>
    </row>
    <row r="82" spans="1:12">
      <c r="A82" s="8" t="s">
        <v>617</v>
      </c>
      <c r="B82" s="8"/>
      <c r="C82" s="8" t="s">
        <v>470</v>
      </c>
      <c r="D82" s="8" t="s">
        <v>471</v>
      </c>
      <c r="E82" s="10">
        <v>17275.928</v>
      </c>
      <c r="F82" s="10">
        <v>13775</v>
      </c>
      <c r="G82" s="40">
        <f t="shared" si="2"/>
        <v>-3500.9279999999999</v>
      </c>
      <c r="H82" s="9">
        <v>46204</v>
      </c>
      <c r="I82" s="9">
        <v>46234</v>
      </c>
      <c r="J82" s="8" t="s">
        <v>336</v>
      </c>
      <c r="K82" s="8" t="s">
        <v>469</v>
      </c>
      <c r="L82" s="8" t="s">
        <v>338</v>
      </c>
    </row>
    <row r="83" spans="1:12">
      <c r="A83" s="8" t="s">
        <v>618</v>
      </c>
      <c r="B83" s="8"/>
      <c r="C83" s="8" t="s">
        <v>474</v>
      </c>
      <c r="D83" s="8" t="s">
        <v>475</v>
      </c>
      <c r="E83" s="10">
        <v>12714.86</v>
      </c>
      <c r="F83" s="10">
        <v>9213.9320000000007</v>
      </c>
      <c r="G83" s="40">
        <f t="shared" si="2"/>
        <v>-3500.9279999999999</v>
      </c>
      <c r="H83" s="9">
        <v>46204</v>
      </c>
      <c r="I83" s="9">
        <v>46234</v>
      </c>
      <c r="J83" s="8" t="s">
        <v>336</v>
      </c>
      <c r="K83" s="8" t="s">
        <v>347</v>
      </c>
      <c r="L83" s="8" t="s">
        <v>338</v>
      </c>
    </row>
    <row r="84" spans="1:12">
      <c r="A84" s="8" t="s">
        <v>619</v>
      </c>
      <c r="B84" s="8"/>
      <c r="C84" s="8" t="s">
        <v>479</v>
      </c>
      <c r="D84" s="8" t="s">
        <v>480</v>
      </c>
      <c r="E84" s="10">
        <v>28074.597999999998</v>
      </c>
      <c r="F84" s="10">
        <v>24573.67</v>
      </c>
      <c r="G84" s="40">
        <f t="shared" si="2"/>
        <v>-3500.9279999999999</v>
      </c>
      <c r="H84" s="9">
        <v>46204</v>
      </c>
      <c r="I84" s="9">
        <v>46234</v>
      </c>
      <c r="J84" s="8" t="s">
        <v>336</v>
      </c>
      <c r="K84" s="8" t="s">
        <v>481</v>
      </c>
      <c r="L84" s="8" t="s">
        <v>338</v>
      </c>
    </row>
    <row r="85" spans="1:12">
      <c r="A85" s="8" t="s">
        <v>620</v>
      </c>
      <c r="B85" s="8"/>
      <c r="C85" s="8" t="s">
        <v>486</v>
      </c>
      <c r="D85" s="8" t="s">
        <v>487</v>
      </c>
      <c r="E85" s="10">
        <v>15060.928</v>
      </c>
      <c r="F85" s="10">
        <v>11560</v>
      </c>
      <c r="G85" s="40">
        <f t="shared" si="2"/>
        <v>-3500.9279999999999</v>
      </c>
      <c r="H85" s="9">
        <v>46204</v>
      </c>
      <c r="I85" s="9">
        <v>46234</v>
      </c>
      <c r="J85" s="8" t="s">
        <v>336</v>
      </c>
      <c r="K85" s="8" t="s">
        <v>341</v>
      </c>
      <c r="L85" s="8" t="s">
        <v>338</v>
      </c>
    </row>
    <row r="86" spans="1:12">
      <c r="A86" s="8" t="s">
        <v>621</v>
      </c>
      <c r="B86" s="8"/>
      <c r="C86" s="8" t="s">
        <v>492</v>
      </c>
      <c r="D86" s="8" t="s">
        <v>493</v>
      </c>
      <c r="E86" s="10">
        <v>6233.83</v>
      </c>
      <c r="F86" s="10">
        <v>2732.902</v>
      </c>
      <c r="G86" s="40">
        <f t="shared" si="2"/>
        <v>-3500.9279999999999</v>
      </c>
      <c r="H86" s="9">
        <v>46204</v>
      </c>
      <c r="I86" s="9">
        <v>46234</v>
      </c>
      <c r="J86" s="8" t="s">
        <v>336</v>
      </c>
      <c r="K86" s="8" t="s">
        <v>494</v>
      </c>
      <c r="L86" s="8" t="s">
        <v>338</v>
      </c>
    </row>
    <row r="87" spans="1:12">
      <c r="A87" s="8" t="s">
        <v>622</v>
      </c>
      <c r="B87" s="8"/>
      <c r="C87" s="8" t="s">
        <v>497</v>
      </c>
      <c r="D87" s="8" t="s">
        <v>498</v>
      </c>
      <c r="E87" s="10">
        <v>19986.207999999999</v>
      </c>
      <c r="F87" s="10">
        <v>16485.28</v>
      </c>
      <c r="G87" s="40">
        <f t="shared" si="2"/>
        <v>-3500.9279999999999</v>
      </c>
      <c r="H87" s="9">
        <v>46204</v>
      </c>
      <c r="I87" s="9">
        <v>46234</v>
      </c>
      <c r="J87" s="8" t="s">
        <v>336</v>
      </c>
      <c r="K87" s="8" t="s">
        <v>344</v>
      </c>
      <c r="L87" s="8" t="s">
        <v>338</v>
      </c>
    </row>
    <row r="88" spans="1:12">
      <c r="A88" s="8" t="s">
        <v>623</v>
      </c>
      <c r="B88" s="8"/>
      <c r="C88" s="8" t="s">
        <v>508</v>
      </c>
      <c r="D88" s="8" t="s">
        <v>509</v>
      </c>
      <c r="E88" s="10">
        <v>21186.288</v>
      </c>
      <c r="F88" s="10">
        <v>17685.36</v>
      </c>
      <c r="G88" s="40">
        <f t="shared" si="2"/>
        <v>-3500.9279999999999</v>
      </c>
      <c r="H88" s="9">
        <v>46204</v>
      </c>
      <c r="I88" s="9">
        <v>46234</v>
      </c>
      <c r="J88" s="8" t="s">
        <v>336</v>
      </c>
      <c r="K88" s="8" t="s">
        <v>510</v>
      </c>
      <c r="L88" s="8" t="s">
        <v>338</v>
      </c>
    </row>
    <row r="89" spans="1:12">
      <c r="A89" s="8" t="s">
        <v>624</v>
      </c>
      <c r="B89" s="8"/>
      <c r="C89" s="8" t="s">
        <v>514</v>
      </c>
      <c r="D89" s="8" t="s">
        <v>515</v>
      </c>
      <c r="E89" s="10">
        <v>22400.918000000001</v>
      </c>
      <c r="F89" s="10">
        <v>18899.990000000002</v>
      </c>
      <c r="G89" s="40">
        <f t="shared" si="2"/>
        <v>-3500.9279999999999</v>
      </c>
      <c r="H89" s="9">
        <v>46204</v>
      </c>
      <c r="I89" s="9">
        <v>46234</v>
      </c>
      <c r="J89" s="8" t="s">
        <v>336</v>
      </c>
      <c r="K89" s="8" t="s">
        <v>516</v>
      </c>
      <c r="L89" s="8" t="s">
        <v>338</v>
      </c>
    </row>
    <row r="90" spans="1:12">
      <c r="A90" s="8" t="s">
        <v>625</v>
      </c>
      <c r="B90" s="8"/>
      <c r="C90" s="8" t="s">
        <v>523</v>
      </c>
      <c r="D90" s="8" t="s">
        <v>524</v>
      </c>
      <c r="E90" s="10">
        <v>15060.928</v>
      </c>
      <c r="F90" s="10">
        <v>11560</v>
      </c>
      <c r="G90" s="40">
        <f t="shared" si="2"/>
        <v>-3500.9279999999999</v>
      </c>
      <c r="H90" s="9">
        <v>46204</v>
      </c>
      <c r="I90" s="9">
        <v>46234</v>
      </c>
      <c r="J90" s="8" t="s">
        <v>336</v>
      </c>
      <c r="K90" s="8" t="s">
        <v>341</v>
      </c>
      <c r="L90" s="8" t="s">
        <v>338</v>
      </c>
    </row>
    <row r="91" spans="1:12">
      <c r="A91" s="8" t="s">
        <v>626</v>
      </c>
      <c r="B91" s="8"/>
      <c r="C91" s="8" t="s">
        <v>525</v>
      </c>
      <c r="D91" s="8" t="s">
        <v>526</v>
      </c>
      <c r="E91" s="10">
        <v>12714.86</v>
      </c>
      <c r="F91" s="10">
        <v>9213.9320000000007</v>
      </c>
      <c r="G91" s="40">
        <f t="shared" si="2"/>
        <v>-3500.9279999999999</v>
      </c>
      <c r="H91" s="9">
        <v>46204</v>
      </c>
      <c r="I91" s="9">
        <v>46234</v>
      </c>
      <c r="J91" s="8" t="s">
        <v>336</v>
      </c>
      <c r="K91" s="8" t="s">
        <v>347</v>
      </c>
      <c r="L91" s="8" t="s">
        <v>338</v>
      </c>
    </row>
    <row r="92" spans="1:12">
      <c r="A92" s="8" t="s">
        <v>627</v>
      </c>
      <c r="B92" s="8"/>
      <c r="C92" s="8" t="s">
        <v>527</v>
      </c>
      <c r="D92" s="8" t="s">
        <v>528</v>
      </c>
      <c r="E92" s="10">
        <v>31819.428</v>
      </c>
      <c r="F92" s="10">
        <v>28318.5</v>
      </c>
      <c r="G92" s="40">
        <f t="shared" si="2"/>
        <v>-3500.9279999999999</v>
      </c>
      <c r="H92" s="9">
        <v>46204</v>
      </c>
      <c r="I92" s="9">
        <v>46234</v>
      </c>
      <c r="J92" s="8" t="s">
        <v>336</v>
      </c>
      <c r="K92" s="8" t="s">
        <v>529</v>
      </c>
      <c r="L92" s="8" t="s">
        <v>338</v>
      </c>
    </row>
    <row r="93" spans="1:12">
      <c r="A93" s="27" t="s">
        <v>1537</v>
      </c>
      <c r="B93" s="27"/>
      <c r="C93" s="27"/>
      <c r="D93" s="27" t="s">
        <v>1538</v>
      </c>
      <c r="E93" s="28">
        <f>6000+1980</f>
        <v>7980</v>
      </c>
      <c r="F93" s="28">
        <f>+E93-990</f>
        <v>6990</v>
      </c>
      <c r="G93" s="83">
        <f t="shared" ref="G93:G94" si="3">+F93-E93</f>
        <v>-990</v>
      </c>
      <c r="H93" s="29">
        <v>46217</v>
      </c>
      <c r="I93" s="29">
        <v>46234</v>
      </c>
      <c r="J93" s="27" t="s">
        <v>336</v>
      </c>
      <c r="K93" s="8"/>
      <c r="L93" s="8"/>
    </row>
    <row r="94" spans="1:12">
      <c r="A94" s="27" t="s">
        <v>1539</v>
      </c>
      <c r="B94" s="27"/>
      <c r="C94" s="27"/>
      <c r="D94" s="27" t="s">
        <v>1540</v>
      </c>
      <c r="E94" s="28">
        <f>6100+1980</f>
        <v>8080</v>
      </c>
      <c r="F94" s="28">
        <f>+E94-990</f>
        <v>7090</v>
      </c>
      <c r="G94" s="83">
        <f t="shared" si="3"/>
        <v>-990</v>
      </c>
      <c r="H94" s="29">
        <v>46217</v>
      </c>
      <c r="I94" s="29">
        <v>46234</v>
      </c>
      <c r="J94" s="27" t="s">
        <v>336</v>
      </c>
      <c r="K94" s="8"/>
      <c r="L94" s="8"/>
    </row>
    <row r="95" spans="1:12">
      <c r="A95" s="27"/>
      <c r="B95" s="27"/>
      <c r="C95" s="27"/>
      <c r="D95" s="27"/>
      <c r="E95" s="28"/>
      <c r="F95" s="28"/>
      <c r="G95" s="28"/>
      <c r="H95" s="29"/>
      <c r="I95" s="29"/>
      <c r="J95" s="27"/>
      <c r="K95" s="27"/>
      <c r="L95" s="27"/>
    </row>
    <row r="96" spans="1:12">
      <c r="A96" s="27"/>
      <c r="B96" s="27"/>
      <c r="C96" s="27"/>
      <c r="D96" s="27"/>
      <c r="E96" s="28"/>
      <c r="F96" s="28"/>
      <c r="G96" s="28"/>
      <c r="H96" s="29"/>
      <c r="I96" s="29"/>
      <c r="J96" s="27"/>
      <c r="K96" s="27"/>
      <c r="L96" s="27"/>
    </row>
    <row r="97" spans="1:12">
      <c r="A97" s="27"/>
      <c r="B97" s="27"/>
      <c r="C97" s="27"/>
      <c r="D97" s="27"/>
      <c r="E97" s="28"/>
      <c r="F97" s="28"/>
      <c r="G97" s="28"/>
      <c r="H97" s="29"/>
      <c r="I97" s="29"/>
      <c r="J97" s="27"/>
      <c r="K97" s="27"/>
      <c r="L97" s="27"/>
    </row>
    <row r="98" spans="1:12">
      <c r="A98" s="27"/>
      <c r="B98" s="27"/>
      <c r="C98" s="27"/>
      <c r="D98" s="27"/>
      <c r="E98" s="28"/>
      <c r="F98" s="28"/>
      <c r="G98" s="28"/>
      <c r="H98" s="29"/>
      <c r="I98" s="29"/>
      <c r="J98" s="27"/>
      <c r="K98" s="27"/>
      <c r="L98" s="27"/>
    </row>
    <row r="99" spans="1:12">
      <c r="A99" s="27"/>
      <c r="B99" s="27"/>
      <c r="C99" s="27"/>
      <c r="D99" s="27"/>
      <c r="E99" s="28"/>
      <c r="F99" s="28"/>
      <c r="G99" s="28"/>
      <c r="H99" s="29"/>
      <c r="I99" s="29"/>
      <c r="J99" s="27"/>
      <c r="K99" s="27"/>
      <c r="L99" s="27"/>
    </row>
    <row r="100" spans="1:12">
      <c r="A100" s="27"/>
      <c r="B100" s="27"/>
      <c r="C100" s="27"/>
      <c r="D100" s="27"/>
      <c r="E100" s="28"/>
      <c r="F100" s="28"/>
      <c r="G100" s="28"/>
      <c r="H100" s="29"/>
      <c r="I100" s="29"/>
      <c r="J100" s="27"/>
      <c r="K100" s="27"/>
      <c r="L100" s="27"/>
    </row>
    <row r="101" spans="1:12">
      <c r="A101" s="27"/>
      <c r="B101" s="27"/>
      <c r="C101" s="27"/>
      <c r="D101" s="27"/>
      <c r="E101" s="28"/>
      <c r="F101" s="28"/>
      <c r="G101" s="28"/>
      <c r="H101" s="29"/>
      <c r="I101" s="29"/>
      <c r="J101" s="27"/>
      <c r="K101" s="27"/>
      <c r="L101" s="27"/>
    </row>
    <row r="102" spans="1:12">
      <c r="A102" s="27"/>
      <c r="B102" s="27"/>
      <c r="C102" s="27"/>
      <c r="D102" s="27"/>
      <c r="E102" s="28"/>
      <c r="F102" s="28"/>
      <c r="G102" s="28"/>
      <c r="H102" s="29"/>
      <c r="I102" s="29"/>
      <c r="J102" s="27"/>
      <c r="K102" s="27"/>
      <c r="L102" s="27"/>
    </row>
    <row r="103" spans="1:12">
      <c r="A103" s="27"/>
      <c r="B103" s="27"/>
      <c r="C103" s="27"/>
      <c r="D103" s="27"/>
      <c r="E103" s="28"/>
      <c r="F103" s="28"/>
      <c r="G103" s="28"/>
      <c r="H103" s="29"/>
      <c r="I103" s="29"/>
      <c r="J103" s="27"/>
      <c r="K103" s="27"/>
      <c r="L103" s="27"/>
    </row>
    <row r="104" spans="1:12">
      <c r="A104" s="27"/>
      <c r="B104" s="27"/>
      <c r="C104" s="27"/>
      <c r="D104" s="27"/>
      <c r="E104" s="28"/>
      <c r="F104" s="28"/>
      <c r="G104" s="28"/>
      <c r="H104" s="29"/>
      <c r="I104" s="29"/>
      <c r="J104" s="27"/>
      <c r="K104" s="27"/>
      <c r="L104" s="27"/>
    </row>
    <row r="105" spans="1:12">
      <c r="A105" s="27"/>
      <c r="B105" s="27"/>
      <c r="C105" s="27"/>
      <c r="D105" s="27"/>
      <c r="E105" s="28"/>
      <c r="F105" s="28"/>
      <c r="G105" s="28"/>
      <c r="H105" s="29"/>
      <c r="I105" s="29"/>
      <c r="J105" s="27"/>
      <c r="K105" s="27"/>
      <c r="L105" s="27"/>
    </row>
    <row r="106" spans="1:12">
      <c r="A106" s="27"/>
      <c r="B106" s="27"/>
      <c r="C106" s="27"/>
      <c r="D106" s="27"/>
      <c r="E106" s="28"/>
      <c r="F106" s="28"/>
      <c r="G106" s="28"/>
      <c r="H106" s="29"/>
      <c r="I106" s="29"/>
      <c r="J106" s="27"/>
      <c r="K106" s="27"/>
      <c r="L106" s="27"/>
    </row>
    <row r="107" spans="1:12">
      <c r="A107" s="27"/>
      <c r="B107" s="27"/>
      <c r="C107" s="27"/>
      <c r="D107" s="27"/>
      <c r="E107" s="28"/>
      <c r="F107" s="28"/>
      <c r="G107" s="28"/>
      <c r="H107" s="29"/>
      <c r="I107" s="29"/>
      <c r="J107" s="27"/>
      <c r="K107" s="27"/>
      <c r="L107" s="27"/>
    </row>
    <row r="108" spans="1:12">
      <c r="A108" s="27"/>
      <c r="B108" s="27"/>
      <c r="C108" s="27"/>
      <c r="D108" s="27"/>
      <c r="E108" s="28"/>
      <c r="F108" s="28"/>
      <c r="G108" s="28"/>
      <c r="H108" s="29"/>
      <c r="I108" s="29"/>
      <c r="J108" s="27"/>
      <c r="K108" s="27"/>
      <c r="L108" s="27"/>
    </row>
    <row r="109" spans="1:12">
      <c r="A109" s="27"/>
      <c r="B109" s="27"/>
      <c r="C109" s="27"/>
      <c r="D109" s="27"/>
      <c r="E109" s="28"/>
      <c r="F109" s="28"/>
      <c r="G109" s="28"/>
      <c r="H109" s="29"/>
      <c r="I109" s="29"/>
      <c r="J109" s="27"/>
      <c r="K109" s="27"/>
      <c r="L109" s="27"/>
    </row>
    <row r="110" spans="1:12">
      <c r="A110" s="27"/>
      <c r="B110" s="27"/>
      <c r="C110" s="27"/>
      <c r="D110" s="27"/>
      <c r="E110" s="28"/>
      <c r="F110" s="28"/>
      <c r="G110" s="28"/>
      <c r="H110" s="29"/>
      <c r="I110" s="29"/>
      <c r="J110" s="27"/>
      <c r="K110" s="27"/>
      <c r="L110" s="27"/>
    </row>
    <row r="111" spans="1:12">
      <c r="A111" s="27"/>
      <c r="B111" s="27"/>
      <c r="C111" s="27"/>
      <c r="D111" s="27"/>
      <c r="E111" s="28"/>
      <c r="F111" s="28"/>
      <c r="G111" s="28"/>
      <c r="H111" s="29"/>
      <c r="I111" s="29"/>
      <c r="J111" s="27"/>
      <c r="K111" s="27"/>
      <c r="L111" s="27"/>
    </row>
    <row r="112" spans="1:12">
      <c r="A112" s="27"/>
      <c r="B112" s="27"/>
      <c r="C112" s="27"/>
      <c r="D112" s="27"/>
      <c r="E112" s="28"/>
      <c r="F112" s="28"/>
      <c r="G112" s="28"/>
      <c r="H112" s="29"/>
      <c r="I112" s="29"/>
      <c r="J112" s="27"/>
      <c r="K112" s="27"/>
      <c r="L112" s="27"/>
    </row>
    <row r="113" spans="1:12">
      <c r="A113" s="27"/>
      <c r="B113" s="27"/>
      <c r="C113" s="27"/>
      <c r="D113" s="27"/>
      <c r="E113" s="28"/>
      <c r="F113" s="28"/>
      <c r="G113" s="28"/>
      <c r="H113" s="29"/>
      <c r="I113" s="29"/>
      <c r="J113" s="27"/>
      <c r="K113" s="27"/>
      <c r="L113" s="27"/>
    </row>
    <row r="114" spans="1:12">
      <c r="A114" s="27"/>
      <c r="B114" s="27"/>
      <c r="C114" s="27"/>
      <c r="D114" s="27"/>
      <c r="E114" s="28"/>
      <c r="F114" s="28"/>
      <c r="G114" s="28"/>
      <c r="H114" s="29"/>
      <c r="I114" s="29"/>
      <c r="J114" s="27"/>
      <c r="K114" s="27"/>
      <c r="L114" s="27"/>
    </row>
    <row r="115" spans="1:12">
      <c r="A115" s="27"/>
      <c r="B115" s="27"/>
      <c r="C115" s="27"/>
      <c r="D115" s="27"/>
      <c r="E115" s="28"/>
      <c r="F115" s="28"/>
      <c r="G115" s="28"/>
      <c r="H115" s="29"/>
      <c r="I115" s="29"/>
      <c r="J115" s="27"/>
      <c r="K115" s="27"/>
      <c r="L115" s="27"/>
    </row>
    <row r="116" spans="1:12">
      <c r="A116" s="27"/>
      <c r="B116" s="27"/>
      <c r="C116" s="27"/>
      <c r="D116" s="27"/>
      <c r="E116" s="28"/>
      <c r="F116" s="28"/>
      <c r="G116" s="28"/>
      <c r="H116" s="29"/>
      <c r="I116" s="29"/>
      <c r="J116" s="27"/>
      <c r="K116" s="27"/>
      <c r="L116" s="27"/>
    </row>
    <row r="117" spans="1:12">
      <c r="A117" s="27"/>
      <c r="B117" s="27"/>
      <c r="C117" s="27"/>
      <c r="D117" s="27"/>
      <c r="E117" s="28"/>
      <c r="F117" s="28"/>
      <c r="G117" s="28"/>
      <c r="H117" s="29"/>
      <c r="I117" s="29"/>
      <c r="J117" s="27"/>
      <c r="K117" s="27"/>
      <c r="L117" s="27"/>
    </row>
    <row r="118" spans="1:12">
      <c r="A118" s="27"/>
      <c r="B118" s="27"/>
      <c r="C118" s="27"/>
      <c r="D118" s="27"/>
      <c r="E118" s="28"/>
      <c r="F118" s="28"/>
      <c r="G118" s="28"/>
      <c r="H118" s="29"/>
      <c r="I118" s="29"/>
      <c r="J118" s="27"/>
      <c r="K118" s="27"/>
      <c r="L118" s="27"/>
    </row>
    <row r="119" spans="1:12">
      <c r="A119" s="27"/>
      <c r="B119" s="27"/>
      <c r="C119" s="27"/>
      <c r="D119" s="27"/>
      <c r="E119" s="28"/>
      <c r="F119" s="28"/>
      <c r="G119" s="28"/>
      <c r="H119" s="29"/>
      <c r="I119" s="29"/>
      <c r="J119" s="27"/>
      <c r="K119" s="27"/>
      <c r="L119" s="27"/>
    </row>
    <row r="120" spans="1:12">
      <c r="A120" s="27"/>
      <c r="B120" s="27"/>
      <c r="C120" s="27"/>
      <c r="D120" s="27"/>
      <c r="E120" s="28"/>
      <c r="F120" s="28"/>
      <c r="G120" s="28"/>
      <c r="H120" s="29"/>
      <c r="I120" s="29"/>
      <c r="J120" s="27"/>
      <c r="K120" s="27"/>
      <c r="L120" s="27"/>
    </row>
    <row r="121" spans="1:12" s="8" customFormat="1">
      <c r="A121" s="27"/>
      <c r="B121" s="27"/>
      <c r="C121" s="27"/>
      <c r="D121" s="27"/>
      <c r="E121" s="28"/>
      <c r="F121" s="28"/>
      <c r="G121" s="28"/>
      <c r="H121" s="29"/>
      <c r="I121" s="29"/>
      <c r="J121" s="27"/>
      <c r="K121" s="27"/>
      <c r="L121" s="27"/>
    </row>
    <row r="122" spans="1:12" s="8" customFormat="1">
      <c r="A122" s="27"/>
      <c r="B122" s="27"/>
      <c r="C122" s="27"/>
      <c r="D122" s="27"/>
      <c r="E122" s="28"/>
      <c r="F122" s="28"/>
      <c r="G122" s="28"/>
      <c r="H122" s="29"/>
      <c r="I122" s="29"/>
      <c r="J122" s="27"/>
      <c r="K122" s="27"/>
      <c r="L122" s="27"/>
    </row>
    <row r="123" spans="1:12" s="39" customFormat="1">
      <c r="A123" s="32"/>
      <c r="B123" s="32"/>
      <c r="C123" s="32"/>
      <c r="D123" s="32"/>
      <c r="E123" s="40"/>
      <c r="F123" s="40"/>
      <c r="G123" s="42"/>
      <c r="H123" s="41"/>
      <c r="I123" s="41"/>
    </row>
    <row r="124" spans="1:12" s="39" customFormat="1">
      <c r="A124" s="32"/>
      <c r="B124" s="32"/>
      <c r="C124" s="32"/>
      <c r="D124" s="32"/>
      <c r="E124" s="40"/>
      <c r="F124" s="40"/>
      <c r="G124" s="42"/>
      <c r="H124" s="41"/>
      <c r="I124" s="41"/>
    </row>
    <row r="125" spans="1:12" s="39" customFormat="1">
      <c r="A125" s="32"/>
      <c r="B125" s="32"/>
      <c r="C125" s="32"/>
      <c r="D125" s="32"/>
      <c r="E125" s="40"/>
      <c r="F125" s="40"/>
      <c r="G125" s="42"/>
      <c r="H125" s="41"/>
      <c r="I125" s="41"/>
    </row>
    <row r="126" spans="1:12" s="39" customFormat="1">
      <c r="A126" s="32"/>
      <c r="B126" s="32"/>
      <c r="C126" s="32"/>
      <c r="D126" s="32"/>
      <c r="E126" s="40"/>
      <c r="F126" s="40"/>
      <c r="G126" s="42"/>
      <c r="H126" s="41"/>
      <c r="I126" s="41"/>
    </row>
    <row r="127" spans="1:12" s="39" customFormat="1">
      <c r="A127" s="32"/>
      <c r="B127" s="32"/>
      <c r="C127" s="32"/>
      <c r="D127" s="32"/>
      <c r="E127" s="40"/>
      <c r="F127" s="40"/>
      <c r="G127" s="42"/>
      <c r="H127" s="41"/>
      <c r="I127" s="41"/>
    </row>
    <row r="128" spans="1:12" s="39" customFormat="1">
      <c r="A128" s="32"/>
      <c r="B128" s="32"/>
      <c r="C128" s="32"/>
      <c r="D128" s="32"/>
      <c r="E128" s="40"/>
      <c r="F128" s="40"/>
      <c r="G128" s="42"/>
      <c r="H128" s="41"/>
      <c r="I128" s="4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DESTACADO</vt:lpstr>
      <vt:lpstr>COMBOS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Sucursal17</cp:lastModifiedBy>
  <dcterms:created xsi:type="dcterms:W3CDTF">2026-05-02T15:58:14Z</dcterms:created>
  <dcterms:modified xsi:type="dcterms:W3CDTF">2026-07-22T11:11:38Z</dcterms:modified>
</cp:coreProperties>
</file>