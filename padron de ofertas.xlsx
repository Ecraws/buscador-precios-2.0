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ursal17\Music\ofertas\ofertas 07\"/>
    </mc:Choice>
  </mc:AlternateContent>
  <xr:revisionPtr revIDLastSave="0" documentId="13_ncr:1_{9C915F16-E60A-49FD-9F98-A6DB8200278A}" xr6:coauthVersionLast="47" xr6:coauthVersionMax="47" xr10:uidLastSave="{00000000-0000-0000-0000-000000000000}"/>
  <bookViews>
    <workbookView xWindow="-120" yWindow="-120" windowWidth="24240" windowHeight="13140" xr2:uid="{50A341D9-31B7-464A-BF33-600D29708FF5}"/>
  </bookViews>
  <sheets>
    <sheet name="OFERTAS" sheetId="4" r:id="rId1"/>
    <sheet name="DESTACADO" sheetId="2" r:id="rId2"/>
    <sheet name="COMBOS" sheetId="3" r:id="rId3"/>
  </sheets>
  <definedNames>
    <definedName name="_xlnm._FilterDatabase" localSheetId="1" hidden="1">DESTACADO!$A$1:$K$1</definedName>
    <definedName name="_xlnm._FilterDatabase" localSheetId="0" hidden="1">OFERTAS!$A$1:$O$330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2" i="2" l="1"/>
  <c r="G291" i="2"/>
  <c r="G268" i="4"/>
  <c r="G271" i="4"/>
  <c r="F219" i="4" l="1"/>
  <c r="G219" i="4" s="1"/>
  <c r="F215" i="4"/>
  <c r="G215" i="4" s="1"/>
  <c r="F214" i="4"/>
  <c r="G214" i="4" s="1"/>
  <c r="F208" i="4"/>
  <c r="G208" i="4" s="1"/>
  <c r="F223" i="4"/>
  <c r="G223" i="4" s="1"/>
  <c r="F216" i="4"/>
  <c r="G216" i="4" s="1"/>
  <c r="F217" i="4"/>
  <c r="G217" i="4" s="1"/>
  <c r="F222" i="4"/>
  <c r="G222" i="4" s="1"/>
  <c r="F218" i="4"/>
  <c r="G218" i="4" s="1"/>
  <c r="F209" i="4"/>
  <c r="G209" i="4" s="1"/>
  <c r="F213" i="4"/>
  <c r="G213" i="4" s="1"/>
  <c r="F212" i="4"/>
  <c r="G212" i="4" s="1"/>
  <c r="F211" i="4"/>
  <c r="G211" i="4" s="1"/>
  <c r="F210" i="4"/>
  <c r="G210" i="4" s="1"/>
  <c r="F36" i="4"/>
  <c r="G36" i="4" s="1"/>
  <c r="F35" i="4"/>
  <c r="G35" i="4" s="1"/>
  <c r="F113" i="4"/>
  <c r="G113" i="4" s="1"/>
  <c r="F98" i="4"/>
  <c r="G98" i="4" s="1"/>
  <c r="F23" i="4"/>
  <c r="G23" i="4" s="1"/>
  <c r="F100" i="4"/>
  <c r="G100" i="4" s="1"/>
  <c r="F115" i="4"/>
  <c r="G115" i="4" s="1"/>
  <c r="F127" i="4"/>
  <c r="G127" i="4" s="1"/>
  <c r="F109" i="4"/>
  <c r="G109" i="4" s="1"/>
  <c r="F73" i="4"/>
  <c r="G73" i="4" s="1"/>
  <c r="F117" i="4"/>
  <c r="G117" i="4" s="1"/>
  <c r="F74" i="4"/>
  <c r="G74" i="4" s="1"/>
  <c r="F72" i="4"/>
  <c r="G72" i="4" s="1"/>
  <c r="F111" i="4"/>
  <c r="G111" i="4" s="1"/>
  <c r="F110" i="4"/>
  <c r="G110" i="4" s="1"/>
  <c r="F122" i="4"/>
  <c r="G122" i="4" s="1"/>
  <c r="F121" i="4"/>
  <c r="G121" i="4" s="1"/>
  <c r="F97" i="4"/>
  <c r="G97" i="4" s="1"/>
  <c r="F22" i="4"/>
  <c r="G22" i="4" s="1"/>
  <c r="F112" i="4"/>
  <c r="G112" i="4" s="1"/>
  <c r="F114" i="4"/>
  <c r="G114" i="4" s="1"/>
  <c r="F19" i="4"/>
  <c r="G19" i="4" s="1"/>
  <c r="D4" i="3"/>
  <c r="F55" i="3"/>
  <c r="F56" i="3"/>
  <c r="F14" i="3"/>
  <c r="F15" i="3"/>
  <c r="F2" i="3"/>
  <c r="F3" i="3"/>
  <c r="F11" i="3"/>
  <c r="F16" i="3"/>
  <c r="F5" i="3"/>
  <c r="F6" i="3"/>
  <c r="F7" i="3"/>
  <c r="F17" i="3"/>
  <c r="F57" i="3"/>
  <c r="F58" i="3"/>
  <c r="F59" i="3"/>
  <c r="F8" i="3"/>
  <c r="F18" i="3"/>
  <c r="F60" i="3"/>
  <c r="F61" i="3"/>
  <c r="F62" i="3"/>
  <c r="F63" i="3"/>
  <c r="F64" i="3"/>
  <c r="F65" i="3"/>
  <c r="F66" i="3"/>
  <c r="F67" i="3"/>
  <c r="F12" i="3"/>
  <c r="F19" i="3"/>
  <c r="F20" i="3"/>
  <c r="F68" i="3"/>
  <c r="F69" i="3"/>
  <c r="F21" i="3"/>
  <c r="F22" i="3"/>
  <c r="F23" i="3"/>
  <c r="F24" i="3"/>
  <c r="F25" i="3"/>
  <c r="F70" i="3"/>
  <c r="F71" i="3"/>
  <c r="F72" i="3"/>
  <c r="F26" i="3"/>
  <c r="F27" i="3"/>
  <c r="F28" i="3"/>
  <c r="F29" i="3"/>
  <c r="F30" i="3"/>
  <c r="F31" i="3"/>
  <c r="F73" i="3"/>
  <c r="F74" i="3"/>
  <c r="F75" i="3"/>
  <c r="F32" i="3"/>
  <c r="F76" i="3"/>
  <c r="F77" i="3"/>
  <c r="F33" i="3"/>
  <c r="F34" i="3"/>
  <c r="F35" i="3"/>
  <c r="F9" i="3"/>
  <c r="F78" i="3"/>
  <c r="F79" i="3"/>
  <c r="F36" i="3"/>
  <c r="F37" i="3"/>
  <c r="F80" i="3"/>
  <c r="F38" i="3"/>
  <c r="F81" i="3"/>
  <c r="F82" i="3"/>
  <c r="F39" i="3"/>
  <c r="F83" i="3"/>
  <c r="F40" i="3"/>
  <c r="F84" i="3"/>
  <c r="F41" i="3"/>
  <c r="F42" i="3"/>
  <c r="F85" i="3"/>
  <c r="F43" i="3"/>
  <c r="F44" i="3"/>
  <c r="F86" i="3"/>
  <c r="F45" i="3"/>
  <c r="F87" i="3"/>
  <c r="F46" i="3"/>
  <c r="F47" i="3"/>
  <c r="F48" i="3"/>
  <c r="F49" i="3"/>
  <c r="F88" i="3"/>
  <c r="F50" i="3"/>
  <c r="F89" i="3"/>
  <c r="F51" i="3"/>
  <c r="F52" i="3"/>
  <c r="F53" i="3"/>
  <c r="F90" i="3"/>
  <c r="F91" i="3"/>
  <c r="F92" i="3"/>
  <c r="F54" i="3"/>
  <c r="F13" i="3"/>
  <c r="F10" i="3"/>
  <c r="F4" i="3" l="1"/>
</calcChain>
</file>

<file path=xl/sharedStrings.xml><?xml version="1.0" encoding="utf-8"?>
<sst xmlns="http://schemas.openxmlformats.org/spreadsheetml/2006/main" count="4824" uniqueCount="1443">
  <si>
    <t>COD_INT</t>
  </si>
  <si>
    <t>COD_PRO</t>
  </si>
  <si>
    <t>SKU</t>
  </si>
  <si>
    <t>DESCRIPCION_ARTICULOS</t>
  </si>
  <si>
    <t>PRECIO</t>
  </si>
  <si>
    <t>OFERTA</t>
  </si>
  <si>
    <t>AHORRO</t>
  </si>
  <si>
    <t>DTO%</t>
  </si>
  <si>
    <t>LLEVANDO</t>
  </si>
  <si>
    <t>CONCEPTO</t>
  </si>
  <si>
    <t>DESDE</t>
  </si>
  <si>
    <t>HASTA</t>
  </si>
  <si>
    <t>sector</t>
  </si>
  <si>
    <t>FAMILIA</t>
  </si>
  <si>
    <t>RESPONSABLE</t>
  </si>
  <si>
    <t>2 unidades</t>
  </si>
  <si>
    <t>2do al 70%</t>
  </si>
  <si>
    <t xml:space="preserve">BEBIDAS                                           </t>
  </si>
  <si>
    <t>1 unidad</t>
  </si>
  <si>
    <t>2do al 50%</t>
  </si>
  <si>
    <t>2do al 60%</t>
  </si>
  <si>
    <t>2do al 30%</t>
  </si>
  <si>
    <t xml:space="preserve">ALIMENTO P/MASCOTAS                               </t>
  </si>
  <si>
    <t>10% OFF</t>
  </si>
  <si>
    <t>25% OFF</t>
  </si>
  <si>
    <t xml:space="preserve">ALPP PEDIG POUCH ADUL POLL 100X                   </t>
  </si>
  <si>
    <t xml:space="preserve">ALPP PEDIG POUCH ADUL CARN 100X                   </t>
  </si>
  <si>
    <t xml:space="preserve">ALPP PEDIG POUCH SAN CREC 85X                     </t>
  </si>
  <si>
    <t xml:space="preserve">ALPP PEDIG POUCH RAZA CARNE 100X                  </t>
  </si>
  <si>
    <t xml:space="preserve">ALPP PEDIG POUCH RAZ POLLO 100X                   </t>
  </si>
  <si>
    <t xml:space="preserve">ALPP PEDIG POUCH CARNE SALSA 100X                 </t>
  </si>
  <si>
    <t xml:space="preserve">ALGP WHISKAS POUCH POLL 85X                       </t>
  </si>
  <si>
    <t xml:space="preserve">ALGP WHISKAS POUCH PAVO 85X                       </t>
  </si>
  <si>
    <t xml:space="preserve">ALGP WHISKAS POUCH SALMON 85X                     </t>
  </si>
  <si>
    <t xml:space="preserve">ALGP WHISKAS POUCH GAT CARN 85X                   </t>
  </si>
  <si>
    <t xml:space="preserve">ALGP WHISKAS POUCH CARN 85X                       </t>
  </si>
  <si>
    <t xml:space="preserve">ALGP WHISKAS POUCH SARDINA 85X                    </t>
  </si>
  <si>
    <t xml:space="preserve">PISA NIC PIEDRA SANITARIA 2KG                     </t>
  </si>
  <si>
    <t xml:space="preserve">ALGA WHISKAS POLLO 500X                           </t>
  </si>
  <si>
    <t xml:space="preserve">ALGA WHISKAS PESCADO 500X                         </t>
  </si>
  <si>
    <t xml:space="preserve">ALGA WHISKAS CARNE 500X                           </t>
  </si>
  <si>
    <t xml:space="preserve">ALGA WHISKAS CARN LECH 500X                       </t>
  </si>
  <si>
    <t xml:space="preserve">ALGA WHISKAS SALMON 500X                          </t>
  </si>
  <si>
    <t xml:space="preserve">ALPE PEDIG CACH SAN CREC 1.5X                     </t>
  </si>
  <si>
    <t xml:space="preserve">ALPE PEDIG ADUL BAL NAT 1.5X                      </t>
  </si>
  <si>
    <t xml:space="preserve">ALPE PEDIG ADUL RAZ PEQ 1.5X                      </t>
  </si>
  <si>
    <t xml:space="preserve">ALPE PEDIG ADUL CAR PO CE ET2 1.5X                </t>
  </si>
  <si>
    <t xml:space="preserve">ALPE PEDIG ADUL CAR VEG 1.5X                      </t>
  </si>
  <si>
    <t xml:space="preserve">CHOC FERRERO ROCH 8X                              </t>
  </si>
  <si>
    <t xml:space="preserve">CHOC FELFORT FEELING 20X                          </t>
  </si>
  <si>
    <t xml:space="preserve">FOCO LEDVANCE LED DIA 7W                          </t>
  </si>
  <si>
    <t xml:space="preserve">FOCO LEDVANCE LED DIA 12W                         </t>
  </si>
  <si>
    <t xml:space="preserve">FOCO LEDVANCE LED DIA 14W                         </t>
  </si>
  <si>
    <t xml:space="preserve">FOCO LEDVANCE LED CALIDA 12W                      </t>
  </si>
  <si>
    <t xml:space="preserve">FOCO LEDVANCE LED CALIDA 9W                       </t>
  </si>
  <si>
    <t xml:space="preserve">FOCO LEDVANCE LED CALIDA 7W                       </t>
  </si>
  <si>
    <t xml:space="preserve">FOCO LEDVANCE LED CALIDA 5W                       </t>
  </si>
  <si>
    <t xml:space="preserve">FOCO LEDVANCE LED DIA 5W                          </t>
  </si>
  <si>
    <t xml:space="preserve">FOCO LEDVANCE LED CALIDA 14W                      </t>
  </si>
  <si>
    <t xml:space="preserve">GOLOSINAS                                         </t>
  </si>
  <si>
    <t xml:space="preserve">FERRETERIA                                        </t>
  </si>
  <si>
    <t>SECTOR</t>
  </si>
  <si>
    <t xml:space="preserve">HELADERAS                                         </t>
  </si>
  <si>
    <t xml:space="preserve">COMESTIBLES                                       </t>
  </si>
  <si>
    <t xml:space="preserve">HARM PRESTO PRONTA 730X                           </t>
  </si>
  <si>
    <t xml:space="preserve">HARM PRESTO PRONTA ESP Y CRE 250X                 </t>
  </si>
  <si>
    <t xml:space="preserve">HARM PRESTO PRONTA PAN Y QUE 250X                 </t>
  </si>
  <si>
    <t xml:space="preserve">HARM PRESTO PRONTA VEGETALES 250X                 </t>
  </si>
  <si>
    <t xml:space="preserve">HARM PRESTO PRONTA 4 QUESOS 250X                  </t>
  </si>
  <si>
    <t xml:space="preserve">ESP  D.ANCLAS COND PIZZA 25X                      </t>
  </si>
  <si>
    <t>15% OFF</t>
  </si>
  <si>
    <t xml:space="preserve">ESP  D.ANCLAS PROVENZAL 50X                       </t>
  </si>
  <si>
    <t xml:space="preserve">ESP  D.ANCLAS OREGANO 25X                         </t>
  </si>
  <si>
    <t xml:space="preserve">PURE TOMATE ARCOR 520X       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</si>
  <si>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</si>
  <si>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</si>
  <si>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</si>
  <si>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</si>
  <si>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</si>
  <si>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</si>
  <si>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</si>
  <si>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PANI F.LACTAL MESA CHIC 315X                      </t>
  </si>
  <si>
    <t xml:space="preserve">PANADERIA                      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</si>
  <si>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</si>
  <si>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</si>
  <si>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</si>
  <si>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BIMBO ARTESANO INTEG 500X                    </t>
  </si>
  <si>
    <t xml:space="preserve">PANI BIMBO BCO ARTESANO ORIG 500X                 </t>
  </si>
  <si>
    <t xml:space="preserve">PANI BIMBO OROWEAT CERE 600X                      </t>
  </si>
  <si>
    <t xml:space="preserve">PANI BIMBO OROWEAT CLAS 600X                      </t>
  </si>
  <si>
    <t xml:space="preserve">PANI BIMBO INTEGRAL CERO 430X                     </t>
  </si>
  <si>
    <t xml:space="preserve">PANI BIMBO BLANCO CERO CERO 410X                  </t>
  </si>
  <si>
    <t xml:space="preserve">MAYO CADA DIA 250X                                </t>
  </si>
  <si>
    <t xml:space="preserve">MAYO CADA DIA 500X                                </t>
  </si>
  <si>
    <t>30% OFF</t>
  </si>
  <si>
    <t xml:space="preserve">ACGI NATURA 1.5X                                  </t>
  </si>
  <si>
    <t xml:space="preserve">ACGI NATURA 3X                                    </t>
  </si>
  <si>
    <t xml:space="preserve">ACGI NATURA 900X                                  </t>
  </si>
  <si>
    <t xml:space="preserve">PANI FARGO ALL NAT NEGRO 400X                     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</si>
  <si>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</si>
  <si>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</si>
  <si>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</si>
  <si>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</si>
  <si>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</si>
  <si>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</si>
  <si>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</si>
  <si>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</si>
  <si>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</si>
  <si>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</si>
  <si>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LAFI ICB X6                                       </t>
  </si>
  <si>
    <t xml:space="preserve">LAFI PATY CLASICA  6X225X                         </t>
  </si>
  <si>
    <t xml:space="preserve">LAFI VIENISSIMA SALCHI 6X225X                     </t>
  </si>
  <si>
    <t>35% OFF</t>
  </si>
  <si>
    <t>Unidad</t>
  </si>
  <si>
    <t>2da al 80%</t>
  </si>
  <si>
    <t>2da al 60%</t>
  </si>
  <si>
    <t>12% OFF</t>
  </si>
  <si>
    <t xml:space="preserve">CHOC COFLER BLOCK 38X                             </t>
  </si>
  <si>
    <t xml:space="preserve">CHOC COFLER BLOCK BCO 38X                         </t>
  </si>
  <si>
    <t xml:space="preserve">CHOC BOMB BOB BLANCO 15X                          </t>
  </si>
  <si>
    <t xml:space="preserve">CHOC BOMB BOB LECHE 15X                           </t>
  </si>
  <si>
    <t>2da al 70%</t>
  </si>
  <si>
    <t xml:space="preserve">PREM ARCOR PIZZA S/TACC 500X                      </t>
  </si>
  <si>
    <t xml:space="preserve">PREM ARCOR NOQUI PAPA S/TACC 400X                 </t>
  </si>
  <si>
    <t xml:space="preserve">PREM ARCOR BIZC VAIN S/TACC 500X                  </t>
  </si>
  <si>
    <t xml:space="preserve">PREM ARCOR BIZC CHOC S/TACC 500X                  </t>
  </si>
  <si>
    <t xml:space="preserve">PREM ARCOR BROWNIE S/TACC 425X                    </t>
  </si>
  <si>
    <t xml:space="preserve">HARM PRESTO PRONTA 500X                           </t>
  </si>
  <si>
    <t xml:space="preserve">MAYO NATURA D/P 250X                              </t>
  </si>
  <si>
    <t xml:space="preserve">PANI BIMBO BLANCO BRIOCH 500X                     </t>
  </si>
  <si>
    <t xml:space="preserve">PANI BIMBO OROWEAT HOGAZA BLANCA 600X             </t>
  </si>
  <si>
    <t xml:space="preserve">LAFI VIENISSIMA S/TCC 12X460X                     </t>
  </si>
  <si>
    <t xml:space="preserve">CHOC KINDER SORPRESA 1X 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</si>
  <si>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</si>
  <si>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</si>
  <si>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</si>
  <si>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</si>
  <si>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</si>
  <si>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</si>
  <si>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 xml:space="preserve">LIMPIEZA                                          </t>
  </si>
  <si>
    <t xml:space="preserve">DESAYUNO Y MERIENDA                               </t>
  </si>
  <si>
    <t>18% OFF</t>
  </si>
  <si>
    <t xml:space="preserve">ALFA TATIN BCO 33X                                </t>
  </si>
  <si>
    <t xml:space="preserve">ALFA TATIN NGRO 33X                               </t>
  </si>
  <si>
    <t xml:space="preserve">ALFA TATIN TRIPLE BLANCO 60X                      </t>
  </si>
  <si>
    <t xml:space="preserve">ALFA TATIN TRIPLE NEGRO 60X     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</si>
  <si>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</si>
  <si>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</si>
  <si>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CHIA/LINO 220X               </t>
  </si>
  <si>
    <t xml:space="preserve">PANI BIMBO RAPIDITAS CLASICAS 1X8X                </t>
  </si>
  <si>
    <t xml:space="preserve">PANI BIMBO RAPIDITAS CLASICAS XXL 1X8X            </t>
  </si>
  <si>
    <t xml:space="preserve">PANI BIMBO RAPIDITAS INTEGRALES 1X8X              </t>
  </si>
  <si>
    <t xml:space="preserve">PANI BIMBO RAPIDITAS WRAPS INTEGR 1X6X            </t>
  </si>
  <si>
    <t xml:space="preserve">PANI F.LACTAL HAMBURGUESA 4X                      </t>
  </si>
  <si>
    <t xml:space="preserve">PANI F.LACTAL PANCHOS 6X                          </t>
  </si>
  <si>
    <t xml:space="preserve">PANI TIA ROSA TORTILLAS BURRERA 1X8X              </t>
  </si>
  <si>
    <t xml:space="preserve">PANI TIA ROSA TORTILLAS TRIGO 1X8X                </t>
  </si>
  <si>
    <t>oferta</t>
  </si>
  <si>
    <t>7798120730053</t>
  </si>
  <si>
    <t>7797453971171</t>
  </si>
  <si>
    <t>7797453970990</t>
  </si>
  <si>
    <t>7797453971058</t>
  </si>
  <si>
    <t>7797453971119</t>
  </si>
  <si>
    <t>7797453973120</t>
  </si>
  <si>
    <t>7797453001502</t>
  </si>
  <si>
    <t>7797453001601</t>
  </si>
  <si>
    <t>7797453001564</t>
  </si>
  <si>
    <t>7797453001526</t>
  </si>
  <si>
    <t>7797453001540</t>
  </si>
  <si>
    <t>7797453000802</t>
  </si>
  <si>
    <t>7797453000796</t>
  </si>
  <si>
    <t>7797453000468</t>
  </si>
  <si>
    <t>7797453000475</t>
  </si>
  <si>
    <t>7797453000482</t>
  </si>
  <si>
    <t>7797453971768</t>
  </si>
  <si>
    <t>7797453000550</t>
  </si>
  <si>
    <t>7797453000437</t>
  </si>
  <si>
    <t>7896029077672</t>
  </si>
  <si>
    <t>7797453000406</t>
  </si>
  <si>
    <t>7797453000420</t>
  </si>
  <si>
    <t>7797453000543</t>
  </si>
  <si>
    <t>4058075064171</t>
  </si>
  <si>
    <t>4058075064256</t>
  </si>
  <si>
    <t>4058075498341</t>
  </si>
  <si>
    <t>4058075064232</t>
  </si>
  <si>
    <t>4058075064218</t>
  </si>
  <si>
    <t>4058075064157</t>
  </si>
  <si>
    <t>4058075064119</t>
  </si>
  <si>
    <t>4058075064133</t>
  </si>
  <si>
    <t>4058075321168</t>
  </si>
  <si>
    <t>7790580101732</t>
  </si>
  <si>
    <t xml:space="preserve">CHOC AGUILA 70% CACAO 70X                         </t>
  </si>
  <si>
    <t>7790580101879</t>
  </si>
  <si>
    <t xml:space="preserve">CHOC AGUILA 60% NARANJITA 70X                     </t>
  </si>
  <si>
    <t>7790580118716</t>
  </si>
  <si>
    <t xml:space="preserve">CHOC AGUILA 80% CACAO 70X                         </t>
  </si>
  <si>
    <t>7790580124564</t>
  </si>
  <si>
    <t xml:space="preserve">CHOC AGUILA 60% C/FRAMB 70X                       </t>
  </si>
  <si>
    <t>7790580155322</t>
  </si>
  <si>
    <t xml:space="preserve">CHOC AGUILA 70%CACAO 130X                         </t>
  </si>
  <si>
    <t xml:space="preserve">CHOC AGUILA 80%CACAO 130X                         </t>
  </si>
  <si>
    <t>7790040154896</t>
  </si>
  <si>
    <t xml:space="preserve">ALFA BONOBON GOAT 75X                             </t>
  </si>
  <si>
    <t>7790580139216</t>
  </si>
  <si>
    <t xml:space="preserve">CHOC COFLER DLECH 46X                             </t>
  </si>
  <si>
    <t>7790580153922</t>
  </si>
  <si>
    <t xml:space="preserve">CHOC BOMB BOB SUPRIME 8X18X                       </t>
  </si>
  <si>
    <t>7790580124557</t>
  </si>
  <si>
    <t xml:space="preserve">CHOC BOMB BOB SUPRIME 36X                         </t>
  </si>
  <si>
    <t>7790040137578</t>
  </si>
  <si>
    <t xml:space="preserve">ALFA AGUILA MINI TORT DARCK 67X                   </t>
  </si>
  <si>
    <t>7790580117771</t>
  </si>
  <si>
    <t xml:space="preserve">CHOC BOMBON BOB CHOCOLINAS 18X15X                 </t>
  </si>
  <si>
    <t xml:space="preserve">77961815     </t>
  </si>
  <si>
    <t>7790580119065</t>
  </si>
  <si>
    <t xml:space="preserve">CHOC BOMBON BOB BLANCO 18X15X                     </t>
  </si>
  <si>
    <t>7790580119126</t>
  </si>
  <si>
    <t xml:space="preserve">CHOC BOMB BOB SURTIDO 255X                        </t>
  </si>
  <si>
    <t xml:space="preserve">77958921     </t>
  </si>
  <si>
    <t>7790580119157</t>
  </si>
  <si>
    <t xml:space="preserve">CHOC BOMBON BOB LECHE 18X15X                      </t>
  </si>
  <si>
    <t>7790580119164</t>
  </si>
  <si>
    <t xml:space="preserve">CHOC BOMB BOB LECHE 7X15X                         </t>
  </si>
  <si>
    <t>7790580102517</t>
  </si>
  <si>
    <t xml:space="preserve">CHOC BOMBON BOB AGUILA 18X15X                     </t>
  </si>
  <si>
    <t>7790580137090</t>
  </si>
  <si>
    <t>7790580126124</t>
  </si>
  <si>
    <t xml:space="preserve">CHOC COFLER BLOCK GOLD 35X                        </t>
  </si>
  <si>
    <t xml:space="preserve">77953124     </t>
  </si>
  <si>
    <t xml:space="preserve">77944382     </t>
  </si>
  <si>
    <t xml:space="preserve">77944375     </t>
  </si>
  <si>
    <t>7790580403003</t>
  </si>
  <si>
    <t>7790580403812</t>
  </si>
  <si>
    <t>7790580124519</t>
  </si>
  <si>
    <t xml:space="preserve">CARA A.MOGUL 360 PELAB MGO 26X                    </t>
  </si>
  <si>
    <t>7790580124465</t>
  </si>
  <si>
    <t xml:space="preserve">CARA A.MOGUL 360 PELAB UVA 26X                    </t>
  </si>
  <si>
    <t>7790580124441</t>
  </si>
  <si>
    <t xml:space="preserve">CARA A.MOGUL 360 CUBO MIST 26X                    </t>
  </si>
  <si>
    <t>7790580124373</t>
  </si>
  <si>
    <t xml:space="preserve">CARA A.MOGUL 360 OSITO 4D 26X                     </t>
  </si>
  <si>
    <t>7790580139421</t>
  </si>
  <si>
    <t xml:space="preserve">CARA A.MOGUL JELLY MUNDIAL 50X                    </t>
  </si>
  <si>
    <t>8000500041338</t>
  </si>
  <si>
    <t xml:space="preserve">CHOC RAFFAELO 30X                                 </t>
  </si>
  <si>
    <t>7861002900117</t>
  </si>
  <si>
    <t xml:space="preserve">78606487     </t>
  </si>
  <si>
    <t>7797394001265</t>
  </si>
  <si>
    <t>7797394002545</t>
  </si>
  <si>
    <t xml:space="preserve">78600027     </t>
  </si>
  <si>
    <t xml:space="preserve">77965363     </t>
  </si>
  <si>
    <t xml:space="preserve">78934078     </t>
  </si>
  <si>
    <t xml:space="preserve">77907509     </t>
  </si>
  <si>
    <t>7790206506958</t>
  </si>
  <si>
    <t xml:space="preserve">ARR  GARRISON L.FINO 4/0 1X                       </t>
  </si>
  <si>
    <t xml:space="preserve">LEGU GARRIS. MAIZ PISING 400X                     </t>
  </si>
  <si>
    <t xml:space="preserve">LEGU CATINI MAIZ PISING 400X                      </t>
  </si>
  <si>
    <t xml:space="preserve">LEGU CATINI LENTEJAS 500X                         </t>
  </si>
  <si>
    <t xml:space="preserve">LEGU CATINI MAIZ PIS.BCO 500X                     </t>
  </si>
  <si>
    <t xml:space="preserve">HARM GARRISON POLENTINI 500X                      </t>
  </si>
  <si>
    <t xml:space="preserve">DULB ARCOR BAT VAIN EST 500X                      </t>
  </si>
  <si>
    <t xml:space="preserve">DULM ARCOR MEMB 500X                              </t>
  </si>
  <si>
    <t xml:space="preserve">DULB ARCOR BAT C/CHOC 500X                        </t>
  </si>
  <si>
    <t xml:space="preserve">ADER NATURA SALS BARBACOA 250X                    </t>
  </si>
  <si>
    <t xml:space="preserve">SALS ARCOR PIZZA D/P 340X                         </t>
  </si>
  <si>
    <t xml:space="preserve">PURE LA CAMPAGNOLA TOMA 530X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</si>
  <si>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</si>
  <si>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</si>
  <si>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</si>
  <si>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</si>
  <si>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</si>
  <si>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</si>
  <si>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</si>
  <si>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MAYO NATURA D/P 125X                              </t>
  </si>
  <si>
    <t xml:space="preserve">ACGI NATURA 5X                                    </t>
  </si>
  <si>
    <t xml:space="preserve">ARR  LUCCH LARGO FINO 500X                        </t>
  </si>
  <si>
    <t xml:space="preserve">FIDO LUCCH.TALL N5 500X                           </t>
  </si>
  <si>
    <t xml:space="preserve">FIDO LUCCH.SPAG N7 500X                           </t>
  </si>
  <si>
    <t xml:space="preserve">FIDO LUCCH.TIRAB N 28 500X                        </t>
  </si>
  <si>
    <t xml:space="preserve">ARR  LUCCH LARGO FINO 1X                          </t>
  </si>
  <si>
    <t xml:space="preserve">FIDO LUCCHETTI MOSTAC N51 500X                    </t>
  </si>
  <si>
    <t xml:space="preserve">BIZC EXQ ESP VAINILLA 540X                        </t>
  </si>
  <si>
    <t xml:space="preserve">FIDO LUCCH.CODITO 500X                            </t>
  </si>
  <si>
    <t xml:space="preserve">FIDO MATAR SPAG TRAD 500X                         </t>
  </si>
  <si>
    <t xml:space="preserve">FIDO MATAR TIRAB N28 500X                         </t>
  </si>
  <si>
    <t xml:space="preserve">FIDO MATARAZZO MOSTACHOL N52 500X                 </t>
  </si>
  <si>
    <t xml:space="preserve">FIDO LUCCH FORATINI 500X                          </t>
  </si>
  <si>
    <t xml:space="preserve">FIDO MATAR TALL N5 500X                           </t>
  </si>
  <si>
    <t xml:space="preserve">FIDO MATAR CODITO RAY 500X                        </t>
  </si>
  <si>
    <t xml:space="preserve">FIDO MATARAZZO BUCATTINI 500X                     </t>
  </si>
  <si>
    <t xml:space="preserve">BIZC EXQ ESP NARANJA  540X                        </t>
  </si>
  <si>
    <t xml:space="preserve">BIZC EXQ ESP COCO 540X                            </t>
  </si>
  <si>
    <t xml:space="preserve">BIZC EXQ ESP LIMON 540X                           </t>
  </si>
  <si>
    <t>Destacado</t>
  </si>
  <si>
    <t xml:space="preserve">LAFI PATY SALCH FUN CLAS 6X                       </t>
  </si>
  <si>
    <t xml:space="preserve">Sin Indicar         </t>
  </si>
  <si>
    <t xml:space="preserve">ACGI LEGITIMO GIR 900X                            </t>
  </si>
  <si>
    <t xml:space="preserve">ARR D.HERMANO L/F 1X                              </t>
  </si>
  <si>
    <t xml:space="preserve">ARV  SAB.VALLE SEC REM T/P  340X                  </t>
  </si>
  <si>
    <t xml:space="preserve">AZUC LA PROVIDENCIA 1X                            </t>
  </si>
  <si>
    <t xml:space="preserve">CERV BUDWEISER LAT 473X                           </t>
  </si>
  <si>
    <t xml:space="preserve">CONP CUMANA ATUN E/A DESM 170X                    </t>
  </si>
  <si>
    <t xml:space="preserve">CONP CUMANA ATUN NAT DESM 170X                    </t>
  </si>
  <si>
    <t xml:space="preserve">DETC MAGISTRAL ULTR LIMON 300X                    </t>
  </si>
  <si>
    <t xml:space="preserve">DLCH SERENISIMA CLASICO 400X                      </t>
  </si>
  <si>
    <t xml:space="preserve">DLCH SERENISIMA COLONIAL 400X                     </t>
  </si>
  <si>
    <t xml:space="preserve">FIDO FAVORITA CODITO RAY 500X                     </t>
  </si>
  <si>
    <t xml:space="preserve">FIDO FAVORITA MOST 500X                           </t>
  </si>
  <si>
    <t xml:space="preserve">FIDO FAVORITA SPAG 500X                           </t>
  </si>
  <si>
    <t xml:space="preserve">FIDO FAVORITA TALL 500X                           </t>
  </si>
  <si>
    <t xml:space="preserve">FIDO FAVORITA TIRAB 500X                          </t>
  </si>
  <si>
    <t xml:space="preserve">GALD T.VARIEDAD 390X                              </t>
  </si>
  <si>
    <t xml:space="preserve">GALS L.PROVIDENCIA 303X                           </t>
  </si>
  <si>
    <t xml:space="preserve">HARL FLORENCIA LEUD 1X                            </t>
  </si>
  <si>
    <t xml:space="preserve">HART FLORENCIA 3/0 1X                             </t>
  </si>
  <si>
    <t xml:space="preserve">HART FLORENCIA 4/0 1X  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</si>
  <si>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</si>
  <si>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</si>
  <si>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</si>
  <si>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</si>
  <si>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BCO 6X30X                       </t>
  </si>
  <si>
    <t xml:space="preserve">PAPE FOFINHO PREMIUM D/H 100% 12X30X              </t>
  </si>
  <si>
    <t xml:space="preserve">PURE SAB.VALLE T/B 520X                           </t>
  </si>
  <si>
    <t xml:space="preserve">ROLL COC ELEGANTE 50 PANOS 3X                     </t>
  </si>
  <si>
    <t xml:space="preserve">YERB ROMANCE 500X                                 </t>
  </si>
  <si>
    <t xml:space="preserve">FIAM RECREO JAM COCIDO X KG                       </t>
  </si>
  <si>
    <t xml:space="preserve">FIAMBRERIA                                        </t>
  </si>
  <si>
    <t xml:space="preserve">FIQU TREGAR CREMOSO X KG                          </t>
  </si>
  <si>
    <t>SKU4</t>
  </si>
  <si>
    <t>DESCRIPCION_ARTICULOS5</t>
  </si>
  <si>
    <t>PRECIO6</t>
  </si>
  <si>
    <t>OFERTA7</t>
  </si>
  <si>
    <t>AHORRO8</t>
  </si>
  <si>
    <t>SUCURSAL</t>
  </si>
  <si>
    <t>PROVEEDOR1</t>
  </si>
  <si>
    <t>PROVEEDOR2</t>
  </si>
  <si>
    <t>7790950000160 | 7790895001000</t>
  </si>
  <si>
    <t>1 APER GANCIA AMERICANO 950X + 1 GAS SPRITE ORIG PET 2.25X</t>
  </si>
  <si>
    <t>TODAS LAS SUCURSALES</t>
  </si>
  <si>
    <t>CEPAS ARGENTINAS S.A.</t>
  </si>
  <si>
    <t>SALTA REFRESCOS S.A.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</si>
  <si>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</si>
  <si>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</si>
  <si>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</si>
  <si>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</si>
  <si>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</si>
  <si>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AITOR IDER BALBO S.A.A.C.E.I.</t>
  </si>
  <si>
    <t>7790290101480 | 7790895006715</t>
  </si>
  <si>
    <t>1 FERM BRANCA MENTA 450X + 1 GAS SCHWEP TONICA 1.5X</t>
  </si>
  <si>
    <t>DISTRIBUIDORA JOTABE S.A.</t>
  </si>
  <si>
    <t>7790290002190 | 7790895006715</t>
  </si>
  <si>
    <t>1 FERM BRANCA MENTA 750X + 1 GAS SCHWEP TONICA 1.5X</t>
  </si>
  <si>
    <t>7790290001179 | 7790895000997</t>
  </si>
  <si>
    <t>1 FERN BRANCA 450X + 1 GAS COCA COLA ORIG PET 2.25X</t>
  </si>
  <si>
    <t>7790290001193 | 7790895000997</t>
  </si>
  <si>
    <t>1 FERN BRANCA 750X + 1 GAS COCA COLA ORIG PET 2.25X</t>
  </si>
  <si>
    <t>7790950000191 | 7790895001000</t>
  </si>
  <si>
    <t>1 APER AMERICANO GANCIA 450X + 1 GAS SPRITE ORIG PET 2.25X</t>
  </si>
  <si>
    <t>7790240117066 | 7790895006715</t>
  </si>
  <si>
    <t>1 GINI TANQUERAY DRY 750X + 1 GAS SCHWEP TONICA 1.5X</t>
  </si>
  <si>
    <t>DON SENDO S.A.</t>
  </si>
  <si>
    <t>7790139002886 | 7790895000997</t>
  </si>
  <si>
    <t>1 FERN 1882 450X + 1 GAS COCA COLA ORIG PET 2.25X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</si>
  <si>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</si>
  <si>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</si>
  <si>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</si>
  <si>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</si>
  <si>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754697521927 | 7790895006715</t>
  </si>
  <si>
    <t>1 GINN HEREDERO 700X + 1 GAS SCHWEP TONICA 1.5X</t>
  </si>
  <si>
    <t>MESOPOTAMIAN DRINKS S.A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</si>
  <si>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</si>
  <si>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</si>
  <si>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</si>
  <si>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</si>
  <si>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</si>
  <si>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</si>
  <si>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7790290101459 | 7790895000997</t>
  </si>
  <si>
    <t>1 FERN B.VITTONE SPECIALE 750X + 1 GAS COCA COLA ORIG PET 2.25X</t>
  </si>
  <si>
    <t>7790950134834 | 7790895006715</t>
  </si>
  <si>
    <t>1 VERM MARTINI BIANCO 1X + 1 GAS SCHWEP TONICA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</si>
  <si>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</si>
  <si>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</si>
  <si>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</si>
  <si>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</si>
  <si>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</si>
  <si>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</si>
  <si>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</si>
  <si>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</si>
  <si>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</si>
  <si>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</si>
  <si>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</si>
  <si>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</si>
  <si>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</si>
  <si>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</si>
  <si>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</si>
  <si>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</si>
  <si>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7791843008317 | 7790895001000</t>
  </si>
  <si>
    <t>1 VINF BALBO BLANCO 1125X + 1 GAS SPRITE ORIG PET 2.25X</t>
  </si>
  <si>
    <t>7792410518673 | 7790895006715</t>
  </si>
  <si>
    <t>1 GINN ORLOFF TRAD 750X + 1 GAS SCHWEP TONICA 1.5X</t>
  </si>
  <si>
    <t>PERNOD RICARD ARGENTINA</t>
  </si>
  <si>
    <t>5000329002537 | 7790895006715</t>
  </si>
  <si>
    <t>1 GINI BEEFEATER 700X + 1 GAS SCHWEP TONICA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</si>
  <si>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</si>
  <si>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</si>
  <si>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</si>
  <si>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</si>
  <si>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</si>
  <si>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</si>
  <si>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</si>
  <si>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</si>
  <si>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</si>
  <si>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</si>
  <si>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</si>
  <si>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</si>
  <si>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</si>
  <si>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</si>
  <si>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</si>
  <si>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</si>
  <si>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</si>
  <si>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</si>
  <si>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</si>
  <si>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</si>
  <si>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</si>
  <si>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</si>
  <si>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</si>
  <si>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</si>
  <si>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</si>
  <si>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</si>
  <si>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</si>
  <si>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</si>
  <si>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</si>
  <si>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</si>
  <si>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</si>
  <si>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</si>
  <si>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</si>
  <si>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</si>
  <si>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</si>
  <si>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</si>
  <si>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</si>
  <si>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</si>
  <si>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</si>
  <si>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7790290008291 | 7790895006715</t>
  </si>
  <si>
    <t>1 VERM CARPANO BLANCO 1X + 1 GAS SCHWEP TONICA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</si>
  <si>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</si>
  <si>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</si>
  <si>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</si>
  <si>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</si>
  <si>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</si>
  <si>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</si>
  <si>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</si>
  <si>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</si>
  <si>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</si>
  <si>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</si>
  <si>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7792410523165 | 7790895000997</t>
  </si>
  <si>
    <t>1 FERN BUHERO 750X + 1 GAS COCA COLA ORIG PET 2.25X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</si>
  <si>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</si>
  <si>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</si>
  <si>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</si>
  <si>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</si>
  <si>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</si>
  <si>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</si>
  <si>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</si>
  <si>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</si>
  <si>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7791200200712 | 7790895010088</t>
  </si>
  <si>
    <t>1 VERM CINZANO SEGUNDO 750X + 1 GAS SCHWEP POMELO ZERO 1.5X</t>
  </si>
  <si>
    <t>7798359223890 | 7790895006715</t>
  </si>
  <si>
    <t>1 GINN REPUBLICA APARTE 500X + 1 GAS SCHWEP TONICA 1.5X</t>
  </si>
  <si>
    <t>REPUBLICA APARTE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</si>
  <si>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</si>
  <si>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</si>
  <si>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</si>
  <si>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</si>
  <si>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</si>
  <si>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7792410779357 | 7790895006715</t>
  </si>
  <si>
    <t>1 APER RAMAZZOTTI ROSATO 700X + 1 GAS SCHWEP TONICA 1.5X</t>
  </si>
  <si>
    <t>7790290101718 | 7790895010088</t>
  </si>
  <si>
    <t>1 VODK SERNOVA CARIBEAN BLEND 700X + 1 GAS SCHWEP POMELO ZERO 1.5X</t>
  </si>
  <si>
    <t>7798162670966 | 7790895006715</t>
  </si>
  <si>
    <t>1 GINN PROFUGO LONDON DRY 750X + 1 GAS SCHWEP TONICA 1.5X</t>
  </si>
  <si>
    <t>AGROVIT RURAL S.A.</t>
  </si>
  <si>
    <t>7791728238723 | 7790895010088</t>
  </si>
  <si>
    <t>1 VERM LA FUERZA ROJO STYLO 750X + 1 GAS SCHWEP POMELO ZERO 1.5X</t>
  </si>
  <si>
    <t>LA AGRICOLA SA</t>
  </si>
  <si>
    <t>7791728238730 | 7790895006715</t>
  </si>
  <si>
    <t>1 VERM LA FUERZA BLANCO STYLO 750X + 1 GAS SCHWEP TONICA 1.5X</t>
  </si>
  <si>
    <t>7790290101756 | 7790895006715</t>
  </si>
  <si>
    <t>1 GINI SPIRITO BLU 700X + 1 GAS SCHWEP TONICA 1.5X</t>
  </si>
  <si>
    <t>7791200200774 | 7790895010088</t>
  </si>
  <si>
    <t>1 VODK SKYY INF.BLOOD ORANGE 750X + 1 GAS SCHWEP POMELO ZERO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</si>
  <si>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</si>
  <si>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</si>
  <si>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</si>
  <si>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</si>
  <si>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7792114000900 | 7790895010088</t>
  </si>
  <si>
    <t>1 VINF VIEJA MENDOZA RED BLEND 1125X + 1 GAS SCHWEP POMELO ZERO 1.5X</t>
  </si>
  <si>
    <t>ABRIL DISTRIBUCIONES S.A.</t>
  </si>
  <si>
    <t>714604120612 | 7790895006715</t>
  </si>
  <si>
    <t>1 GINN HEREDERO DRY 700X + 1 GAS SCHWEP TONICA 1.5X</t>
  </si>
  <si>
    <t>7798438340012 | 7790895010088</t>
  </si>
  <si>
    <t>1 VERM CARNERO ROSSO 750X + 1 GAS SCHWEP POMELO ZERO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</si>
  <si>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</si>
  <si>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</si>
  <si>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</si>
  <si>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</si>
  <si>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</si>
  <si>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</si>
  <si>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</si>
  <si>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</si>
  <si>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</si>
  <si>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7798152264229 | 7790895010088</t>
  </si>
  <si>
    <t>1 VERM GUARDIANES ROSSO 750X + 1 GAS SCHWEP POMELO ZERO 1.5X</t>
  </si>
  <si>
    <t>DURIGUTTI FAMILY WINES</t>
  </si>
  <si>
    <t>7798377810010 | 7790895006715</t>
  </si>
  <si>
    <t>1 GINN ESTANISLAO 700X + 1 GAS SCHWEP TONICA 1.5X</t>
  </si>
  <si>
    <t>QUIMFINA S.R.L</t>
  </si>
  <si>
    <t>7798078237956 | 7790895010088</t>
  </si>
  <si>
    <t>1 VERM DESCONFIADO ROSSO 750X + 1 GAS SCHWEP POMELO ZERO 1.5X</t>
  </si>
  <si>
    <t>CODORNIU ARGENTINA SA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</si>
  <si>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</si>
  <si>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</si>
  <si>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</si>
  <si>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</si>
  <si>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</si>
  <si>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</si>
  <si>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</si>
  <si>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</si>
  <si>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</si>
  <si>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</si>
  <si>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</si>
  <si>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</si>
  <si>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</si>
  <si>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>714604120674 | 7790895006715</t>
  </si>
  <si>
    <t>1 GINN HEREDERO LIMON Y GINGER 700X + 1 GAS SCHWEP TONICA 1.5X</t>
  </si>
  <si>
    <t>7791843027981 | 7790895001000</t>
  </si>
  <si>
    <t>1 VINF BALBO DULCE BCO. 1125X + 1 GAS SPRITE ORIG PET 2.25X</t>
  </si>
  <si>
    <t>COD_INT1</t>
  </si>
  <si>
    <t>7790290101817| 7790895000997</t>
  </si>
  <si>
    <t>1 FERN BRANCA MUNDIAL 750X + 1 GAS COCA COLA ORIG PET 2.25X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</si>
  <si>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</si>
  <si>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</si>
  <si>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</si>
  <si>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</si>
  <si>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</si>
  <si>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</si>
  <si>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</si>
  <si>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</si>
  <si>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</si>
  <si>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</si>
  <si>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</si>
  <si>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</si>
  <si>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</si>
  <si>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</si>
  <si>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</si>
  <si>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</si>
  <si>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</si>
  <si>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</si>
  <si>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</si>
  <si>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</si>
  <si>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</si>
  <si>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</si>
  <si>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</si>
  <si>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</si>
  <si>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</si>
  <si>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</si>
  <si>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</si>
  <si>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</si>
  <si>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</si>
  <si>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</si>
  <si>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</si>
  <si>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</si>
  <si>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</si>
  <si>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</si>
  <si>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</si>
  <si>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</si>
  <si>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</si>
  <si>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</si>
  <si>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</si>
  <si>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</si>
  <si>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</si>
  <si>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</si>
  <si>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</si>
  <si>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</si>
  <si>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</si>
  <si>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</si>
  <si>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</si>
  <si>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</si>
  <si>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</si>
  <si>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</si>
  <si>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</si>
  <si>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</si>
  <si>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</si>
  <si>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</si>
  <si>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</si>
  <si>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</si>
  <si>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</si>
  <si>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</si>
  <si>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</si>
  <si>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</si>
  <si>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</si>
  <si>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</si>
  <si>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</si>
  <si>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</si>
  <si>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</si>
  <si>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</si>
  <si>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</si>
  <si>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</si>
  <si>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</si>
  <si>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</si>
  <si>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</si>
  <si>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</si>
  <si>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</si>
  <si>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</si>
  <si>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</si>
  <si>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</si>
  <si>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</si>
  <si>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</si>
  <si>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</si>
  <si>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</si>
  <si>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</si>
  <si>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</si>
  <si>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</si>
  <si>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</si>
  <si>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</si>
  <si>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</si>
  <si>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</si>
  <si>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</si>
  <si>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</si>
  <si>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</si>
  <si>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</si>
  <si>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DESTACADO</t>
  </si>
  <si>
    <t xml:space="preserve">CERV QUILMES CRISTAL LAT 473X                     </t>
  </si>
  <si>
    <t xml:space="preserve">CERV BRAHMA LAT 473X                              </t>
  </si>
  <si>
    <t xml:space="preserve">CERV QUILMES 1890 LAT 473X                        </t>
  </si>
  <si>
    <t>27% OFF</t>
  </si>
  <si>
    <t xml:space="preserve">CERV STELLA ARTOIS LAT 473X                       </t>
  </si>
  <si>
    <t xml:space="preserve">CERV CORONA L.NECK 330X                           </t>
  </si>
  <si>
    <t xml:space="preserve">CERV STELLA ARTOIS L.NECK 330X                    </t>
  </si>
  <si>
    <t xml:space="preserve">CERD CORONA BOT 710X                              </t>
  </si>
  <si>
    <t xml:space="preserve">CERV ANDES ORIGEN ORO 473X                        </t>
  </si>
  <si>
    <t>lleva 2 paga 1</t>
  </si>
  <si>
    <t xml:space="preserve">CERV CORONA LAT 473X                              </t>
  </si>
  <si>
    <t xml:space="preserve">CERV QUILMES 0% LAT 473X                          </t>
  </si>
  <si>
    <t xml:space="preserve">CERV MICHELOB ULTRA LAT 473X                      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</si>
  <si>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</si>
  <si>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</si>
  <si>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</si>
  <si>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>11% OFF</t>
  </si>
  <si>
    <t>22% OFF</t>
  </si>
  <si>
    <t>29% OFF</t>
  </si>
  <si>
    <t>31% OFF</t>
  </si>
  <si>
    <t>43% OFF</t>
  </si>
  <si>
    <t>45% OFF</t>
  </si>
  <si>
    <t>15%OFF</t>
  </si>
  <si>
    <t>2da  al 50%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</si>
  <si>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</si>
  <si>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</si>
  <si>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</si>
  <si>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</si>
  <si>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</si>
  <si>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</si>
  <si>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</si>
  <si>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</si>
  <si>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</si>
  <si>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</si>
  <si>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</si>
  <si>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</si>
  <si>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</si>
  <si>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</si>
  <si>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</si>
  <si>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 xml:space="preserve">SODA BENEDICTINO SIFON 2X                         </t>
  </si>
  <si>
    <t>OF $1499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</si>
  <si>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</si>
  <si>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</si>
  <si>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</si>
  <si>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</si>
  <si>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</si>
  <si>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</si>
  <si>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</si>
  <si>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</si>
  <si>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</si>
  <si>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</si>
  <si>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</si>
  <si>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</si>
  <si>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</si>
  <si>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</si>
  <si>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</si>
  <si>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</si>
  <si>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</si>
  <si>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</si>
  <si>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</si>
  <si>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GAS COCA COLA S/AZUC PET 2.25X                    </t>
  </si>
  <si>
    <t xml:space="preserve">GAS  COCA COLA ORIG PET 2.25X 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</si>
  <si>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</si>
  <si>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</si>
  <si>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</si>
  <si>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 xml:space="preserve">AGUA BENEDICTINO S/G 3X                           </t>
  </si>
  <si>
    <t xml:space="preserve">JUGN CEPITA NJA DELIC BOT 1.5X                    </t>
  </si>
  <si>
    <t xml:space="preserve">JUGN CEPITA ANANA DELIC BOT 1.5X                  </t>
  </si>
  <si>
    <t xml:space="preserve">JUGN CEPITA DUR DELIC BOT 1.5X                    </t>
  </si>
  <si>
    <t xml:space="preserve">JUGN CEPITA FRESH NJA 1.5X                        </t>
  </si>
  <si>
    <t xml:space="preserve">JUGN CEPITA MZANA ROJA BOT 1.5X                   </t>
  </si>
  <si>
    <t xml:space="preserve">JUGN CEPITA FRESH POM 1.5X                        </t>
  </si>
  <si>
    <t xml:space="preserve">JUGN CEPITAFRESH MZNA 1.5X                        </t>
  </si>
  <si>
    <t xml:space="preserve">JUGN CEPITA NJA TENTAC BOT 1X                     </t>
  </si>
  <si>
    <t xml:space="preserve">JUGN CEPITA DURAZNO TENT 1X                       </t>
  </si>
  <si>
    <t xml:space="preserve">JUGN CEPITA ANANA MAND 1X                         </t>
  </si>
  <si>
    <t xml:space="preserve">JUGN CEPITA FRUT MANGO 1X                         </t>
  </si>
  <si>
    <t xml:space="preserve">AGUS AQUARIUS MZNA 2.25X                          </t>
  </si>
  <si>
    <t xml:space="preserve">AGUS AQUARIUS LIMONADA 2.25X                      </t>
  </si>
  <si>
    <t xml:space="preserve">AGUS AQUARIUS NJA 2.25X                           </t>
  </si>
  <si>
    <t xml:space="preserve">AGUS AQUARIUS POMELO 2.25X                        </t>
  </si>
  <si>
    <t xml:space="preserve">AGUS AQUARIUS PERA 2.25X                          </t>
  </si>
  <si>
    <t xml:space="preserve">AGUS AQUARIUS POM RDO 2.25X                       </t>
  </si>
  <si>
    <t xml:space="preserve">BISO POWERADE FRU.TROP PET 995X                   </t>
  </si>
  <si>
    <t xml:space="preserve">BISO POWERADE M.BLAST PET 995X                    </t>
  </si>
  <si>
    <t xml:space="preserve">BISO POWERADE MANZANA 995X                        </t>
  </si>
  <si>
    <t xml:space="preserve">CERV ESTRELLA GALICIA 473X                        </t>
  </si>
  <si>
    <t>BEBIDAS</t>
  </si>
  <si>
    <t>CONGELADOS</t>
  </si>
  <si>
    <t>27/06/026</t>
  </si>
  <si>
    <t>solo armenia/cazadores paysandu</t>
  </si>
  <si>
    <t xml:space="preserve">GAS  PEPSI ORIGINAL PET 2X                        </t>
  </si>
  <si>
    <t xml:space="preserve">GAS  7-UP PET 2X                                  </t>
  </si>
  <si>
    <t xml:space="preserve">GAS PDT POM PET 2X                                </t>
  </si>
  <si>
    <t xml:space="preserve">GAS  PDT POM 1.5X                                 </t>
  </si>
  <si>
    <t>2do al 80%</t>
  </si>
  <si>
    <t xml:space="preserve">GAS  PDT TON 1.5X                                 </t>
  </si>
  <si>
    <t xml:space="preserve">GAS  PEPSI BLACK PET 2X                           </t>
  </si>
  <si>
    <t xml:space="preserve">GAS  PEPSI ORIGINAL LATA 354X                     </t>
  </si>
  <si>
    <t xml:space="preserve">GAS  PEPSI BLACK LAT 354X                         </t>
  </si>
  <si>
    <t xml:space="preserve">AGUA ECO-ANDES S/GAS 500X                         </t>
  </si>
  <si>
    <t xml:space="preserve">AGUA ECO-ANDES S/GAS 1.5 X                        </t>
  </si>
  <si>
    <t xml:space="preserve">MR0012              </t>
  </si>
  <si>
    <t xml:space="preserve">VINF RICCITELLI HEY  ROSE 750X                    </t>
  </si>
  <si>
    <t>5% OFF</t>
  </si>
  <si>
    <t xml:space="preserve">BODEGA                                            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</si>
  <si>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</si>
  <si>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</si>
  <si>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</si>
  <si>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</si>
  <si>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</si>
  <si>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</si>
  <si>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</si>
  <si>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</si>
  <si>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</si>
  <si>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</si>
  <si>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</si>
  <si>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</si>
  <si>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</si>
  <si>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</si>
  <si>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</si>
  <si>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</si>
  <si>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</si>
  <si>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</si>
  <si>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</si>
  <si>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</si>
  <si>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</si>
  <si>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</si>
  <si>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</si>
  <si>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</si>
  <si>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</si>
  <si>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</si>
  <si>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</si>
  <si>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</si>
  <si>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</si>
  <si>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</si>
  <si>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</si>
  <si>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</si>
  <si>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</si>
  <si>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</si>
  <si>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</si>
  <si>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</si>
  <si>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</si>
  <si>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</si>
  <si>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</si>
  <si>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</si>
  <si>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</si>
  <si>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</si>
  <si>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</si>
  <si>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</si>
  <si>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</si>
  <si>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</si>
  <si>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</si>
  <si>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</si>
  <si>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</si>
  <si>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</si>
  <si>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</si>
  <si>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</si>
  <si>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</si>
  <si>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</si>
  <si>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</si>
  <si>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</si>
  <si>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</si>
  <si>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</si>
  <si>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</si>
  <si>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</si>
  <si>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</si>
  <si>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</si>
  <si>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</si>
  <si>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</si>
  <si>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</si>
  <si>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</si>
  <si>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</si>
  <si>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</si>
  <si>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</si>
  <si>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</si>
  <si>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</si>
  <si>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</si>
  <si>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</si>
  <si>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</si>
  <si>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</si>
  <si>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</si>
  <si>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</si>
  <si>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</si>
  <si>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</si>
  <si>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</si>
  <si>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</si>
  <si>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</si>
  <si>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</si>
  <si>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</si>
  <si>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</si>
  <si>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</si>
  <si>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</si>
  <si>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</si>
  <si>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</si>
  <si>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</si>
  <si>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</si>
  <si>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</si>
  <si>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</si>
  <si>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</si>
  <si>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</si>
  <si>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</si>
  <si>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</si>
  <si>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</si>
  <si>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</si>
  <si>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</si>
  <si>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</si>
  <si>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</si>
  <si>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</si>
  <si>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</si>
  <si>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</si>
  <si>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</si>
  <si>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</si>
  <si>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</si>
  <si>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</si>
  <si>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</si>
  <si>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</si>
  <si>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</si>
  <si>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</si>
  <si>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</si>
  <si>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</si>
  <si>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</si>
  <si>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</si>
  <si>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</si>
  <si>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</si>
  <si>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</si>
  <si>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</si>
  <si>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</si>
  <si>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</si>
  <si>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</si>
  <si>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</si>
  <si>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</si>
  <si>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</si>
  <si>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</si>
  <si>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</si>
  <si>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</si>
  <si>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</si>
  <si>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</si>
  <si>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</si>
  <si>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</si>
  <si>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</si>
  <si>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</si>
  <si>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</si>
  <si>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</si>
  <si>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</si>
  <si>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</si>
  <si>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</si>
  <si>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</si>
  <si>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</si>
  <si>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</si>
  <si>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</si>
  <si>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</si>
  <si>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</si>
  <si>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</si>
  <si>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</si>
  <si>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</si>
  <si>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</si>
  <si>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</si>
  <si>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</si>
  <si>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</si>
  <si>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</si>
  <si>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</si>
  <si>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</si>
  <si>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</si>
  <si>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</si>
  <si>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</si>
  <si>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</si>
  <si>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</si>
  <si>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</si>
  <si>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</si>
  <si>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</si>
  <si>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</si>
  <si>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</si>
  <si>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</si>
  <si>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</si>
  <si>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</si>
  <si>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</si>
  <si>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</si>
  <si>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</si>
  <si>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</si>
  <si>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</si>
  <si>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</si>
  <si>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</si>
  <si>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</si>
  <si>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</si>
  <si>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</si>
  <si>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</si>
  <si>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</si>
  <si>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</si>
  <si>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</si>
  <si>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</si>
  <si>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</si>
  <si>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</si>
  <si>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</si>
  <si>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</si>
  <si>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</si>
  <si>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</si>
  <si>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</si>
  <si>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</si>
  <si>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</si>
  <si>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</si>
  <si>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</si>
  <si>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</si>
  <si>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</si>
  <si>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</si>
  <si>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</si>
  <si>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</si>
  <si>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</si>
  <si>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</si>
  <si>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</si>
  <si>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</si>
  <si>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</si>
  <si>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</si>
  <si>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</si>
  <si>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</si>
  <si>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</si>
  <si>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</si>
  <si>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</si>
  <si>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</si>
  <si>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</si>
  <si>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</si>
  <si>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</si>
  <si>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</si>
  <si>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</si>
  <si>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</si>
  <si>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</si>
  <si>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</si>
  <si>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</si>
  <si>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</si>
  <si>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</si>
  <si>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</si>
  <si>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</si>
  <si>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</si>
  <si>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</si>
  <si>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</si>
  <si>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</si>
  <si>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</si>
  <si>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</si>
  <si>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</si>
  <si>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</si>
  <si>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</si>
  <si>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</si>
  <si>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</si>
  <si>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</si>
  <si>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</si>
  <si>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</si>
  <si>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</si>
  <si>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</si>
  <si>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</si>
  <si>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</si>
  <si>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</si>
  <si>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</si>
  <si>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</si>
  <si>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</si>
  <si>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</si>
  <si>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</si>
  <si>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</si>
  <si>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</si>
  <si>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</si>
  <si>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</si>
  <si>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</si>
  <si>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</si>
  <si>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</si>
  <si>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</si>
  <si>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</si>
  <si>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</si>
  <si>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</si>
  <si>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</si>
  <si>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</si>
  <si>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</si>
  <si>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</si>
  <si>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</si>
  <si>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</si>
  <si>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</si>
  <si>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</si>
  <si>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</si>
  <si>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</si>
  <si>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</si>
  <si>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</si>
  <si>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</si>
  <si>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</si>
  <si>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</si>
  <si>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</si>
  <si>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</si>
  <si>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</si>
  <si>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</si>
  <si>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</si>
  <si>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</si>
  <si>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</si>
  <si>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</si>
  <si>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</si>
  <si>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</si>
  <si>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</si>
  <si>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</si>
  <si>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</si>
  <si>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</si>
  <si>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</si>
  <si>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</si>
  <si>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</si>
  <si>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</si>
  <si>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</si>
  <si>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</si>
  <si>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</si>
  <si>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</si>
  <si>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</si>
  <si>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</si>
  <si>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</si>
  <si>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</si>
  <si>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</si>
  <si>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</si>
  <si>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</si>
  <si>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</si>
  <si>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</si>
  <si>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</si>
  <si>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</si>
  <si>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</si>
  <si>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</si>
  <si>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</si>
  <si>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</si>
  <si>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</si>
  <si>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</si>
  <si>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</si>
  <si>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</si>
  <si>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</si>
  <si>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</si>
  <si>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</si>
  <si>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</si>
  <si>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</si>
  <si>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</si>
  <si>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</si>
  <si>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</si>
  <si>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</si>
  <si>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</si>
  <si>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</si>
  <si>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</si>
  <si>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</si>
  <si>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</si>
  <si>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</si>
  <si>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</si>
  <si>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</si>
  <si>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</si>
  <si>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</si>
  <si>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</si>
  <si>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</si>
  <si>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</si>
  <si>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</si>
  <si>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</si>
  <si>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</si>
  <si>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</si>
  <si>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</si>
  <si>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</si>
  <si>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</si>
  <si>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</si>
  <si>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</si>
  <si>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</si>
  <si>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</si>
  <si>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</si>
  <si>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</si>
  <si>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</si>
  <si>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</si>
  <si>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</si>
  <si>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</si>
  <si>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</si>
  <si>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</si>
  <si>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</si>
  <si>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</si>
  <si>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</si>
  <si>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</si>
  <si>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</si>
  <si>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</si>
  <si>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</si>
  <si>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</si>
  <si>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</si>
  <si>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</si>
  <si>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</si>
  <si>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</si>
  <si>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</si>
  <si>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</si>
  <si>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</si>
  <si>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</si>
  <si>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</si>
  <si>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</si>
  <si>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</si>
  <si>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</si>
  <si>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</si>
  <si>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</si>
  <si>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</si>
  <si>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</si>
  <si>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</si>
  <si>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</si>
  <si>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</si>
  <si>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</si>
  <si>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</si>
  <si>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</si>
  <si>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</si>
  <si>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</si>
  <si>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</si>
  <si>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</si>
  <si>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</si>
  <si>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</si>
  <si>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</si>
  <si>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</si>
  <si>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</si>
  <si>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</si>
  <si>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</si>
  <si>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</si>
  <si>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</si>
  <si>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</si>
  <si>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</si>
  <si>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</si>
  <si>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</si>
  <si>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</si>
  <si>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</si>
  <si>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</si>
  <si>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</si>
  <si>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</si>
  <si>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</si>
  <si>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</si>
  <si>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</si>
  <si>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</si>
  <si>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</si>
  <si>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</si>
  <si>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</si>
  <si>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</si>
  <si>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</si>
  <si>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</si>
  <si>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</si>
  <si>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</si>
  <si>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</si>
  <si>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</si>
  <si>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</si>
  <si>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</si>
  <si>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</si>
  <si>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</si>
  <si>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</si>
  <si>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</si>
  <si>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</si>
  <si>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</si>
  <si>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</si>
  <si>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</si>
  <si>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</si>
  <si>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</si>
  <si>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</si>
  <si>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</si>
  <si>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</si>
  <si>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</si>
  <si>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</si>
  <si>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</si>
  <si>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</si>
  <si>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</si>
  <si>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</si>
  <si>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</si>
  <si>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</si>
  <si>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</si>
  <si>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</si>
  <si>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</si>
  <si>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</si>
  <si>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</si>
  <si>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</si>
  <si>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</si>
  <si>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</si>
  <si>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</si>
  <si>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</si>
  <si>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</si>
  <si>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</si>
  <si>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</si>
  <si>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</si>
  <si>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</si>
  <si>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</si>
  <si>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</si>
  <si>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</si>
  <si>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</si>
  <si>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</si>
  <si>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</si>
  <si>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</si>
  <si>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</si>
  <si>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</si>
  <si>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</si>
  <si>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</si>
  <si>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</si>
  <si>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</si>
  <si>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</si>
  <si>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</si>
  <si>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</si>
  <si>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</si>
  <si>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</si>
  <si>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</si>
  <si>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</si>
  <si>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</si>
  <si>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</si>
  <si>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</si>
  <si>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</si>
  <si>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</si>
  <si>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</si>
  <si>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</si>
  <si>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</si>
  <si>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</si>
  <si>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</si>
  <si>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</si>
  <si>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</si>
  <si>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</si>
  <si>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</si>
  <si>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</si>
  <si>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</si>
  <si>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</si>
  <si>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</si>
  <si>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</si>
  <si>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</si>
  <si>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</si>
  <si>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</si>
  <si>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</si>
  <si>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</si>
  <si>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</si>
  <si>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</si>
  <si>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</si>
  <si>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</si>
  <si>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</si>
  <si>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</si>
  <si>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</si>
  <si>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</si>
  <si>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</si>
  <si>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</si>
  <si>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</si>
  <si>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</si>
  <si>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</si>
  <si>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</si>
  <si>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</si>
  <si>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</si>
  <si>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</si>
  <si>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</si>
  <si>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</si>
  <si>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</si>
  <si>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</si>
  <si>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</si>
  <si>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</si>
  <si>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</si>
  <si>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</si>
  <si>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</si>
  <si>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</si>
  <si>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</si>
  <si>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</si>
  <si>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</si>
  <si>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</si>
  <si>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</si>
  <si>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</si>
  <si>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</si>
  <si>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</si>
  <si>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</si>
  <si>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</si>
  <si>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</si>
  <si>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</si>
  <si>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</si>
  <si>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</si>
  <si>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</si>
  <si>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</si>
  <si>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</si>
  <si>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</si>
  <si>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</si>
  <si>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</si>
  <si>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</si>
  <si>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</si>
  <si>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</si>
  <si>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</si>
  <si>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</si>
  <si>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</si>
  <si>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</si>
  <si>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</si>
  <si>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</si>
  <si>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</si>
  <si>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</si>
  <si>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</si>
  <si>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</si>
  <si>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</si>
  <si>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</si>
  <si>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</si>
  <si>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</si>
  <si>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</si>
  <si>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</si>
  <si>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</si>
  <si>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</si>
  <si>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</si>
  <si>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</si>
  <si>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</si>
  <si>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</si>
  <si>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</si>
  <si>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</si>
  <si>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</si>
  <si>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</si>
  <si>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</si>
  <si>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</si>
  <si>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</si>
  <si>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</si>
  <si>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</si>
  <si>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</si>
  <si>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</si>
  <si>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</si>
  <si>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</si>
  <si>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</si>
  <si>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</si>
  <si>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</si>
  <si>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</si>
  <si>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</si>
  <si>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</si>
  <si>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</si>
  <si>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</si>
  <si>
    <t xml:space="preserve">AGUA BRIO S/GAS 2.25X                             </t>
  </si>
  <si>
    <t xml:space="preserve">CERV IMPERIAL GOLDEN LATA 473X                    </t>
  </si>
  <si>
    <t xml:space="preserve">CERV HEINEKEN L.NECK BOT 330X                     </t>
  </si>
  <si>
    <t xml:space="preserve">AGUA V VICENCIO S/G 2X                            </t>
  </si>
  <si>
    <t xml:space="preserve">CERV SCHNEIDER LAT 473X                           </t>
  </si>
  <si>
    <t xml:space="preserve">CERV SCHNEIDER REMIX LIMON LAT 473X               </t>
  </si>
  <si>
    <t xml:space="preserve">CERV HEINEKEN 0.0 LAT 473X                        </t>
  </si>
  <si>
    <t xml:space="preserve">CERV HEINEKEN L.NECK 0.0 330x                     </t>
  </si>
  <si>
    <t xml:space="preserve">BISO FULL SPORT FRESH BLUE 500X                   </t>
  </si>
  <si>
    <t xml:space="preserve">BISO FULL SPORT TROP. 500X                        </t>
  </si>
  <si>
    <t xml:space="preserve">CERV MILLER DRAFT L/NECK 330X                     </t>
  </si>
  <si>
    <t xml:space="preserve">BISO FULL SPORT MANZANA 500X                      </t>
  </si>
  <si>
    <t xml:space="preserve">CERV GROLSCH LATA 473X                            </t>
  </si>
  <si>
    <t xml:space="preserve">CERV WARSTEINER LAT 473X                          </t>
  </si>
  <si>
    <t xml:space="preserve">CERV IMPERIAL GOLDEN S/ALCOHOL 473X               </t>
  </si>
  <si>
    <t xml:space="preserve">CERV AMSTEL LAGER LATA 473X                       </t>
  </si>
  <si>
    <t xml:space="preserve">AGUA VILLA DEL SUR 6.25X                          </t>
  </si>
  <si>
    <t xml:space="preserve">CER1 SCHNEIDER RET 1X                             </t>
  </si>
  <si>
    <t xml:space="preserve">CER1 MILLER RETORN 1X                             </t>
  </si>
  <si>
    <t xml:space="preserve">CERV IMPERIAL GOLDEN 330X                         </t>
  </si>
  <si>
    <t xml:space="preserve">AGUS V.SUR LEVITE POM.ROSADO 2.25X                </t>
  </si>
  <si>
    <t xml:space="preserve">AGUS V.SUR LEVITE POMELO 2.25X                    </t>
  </si>
  <si>
    <t xml:space="preserve">COFR SIMPLOT CRUNCH 700X                          </t>
  </si>
  <si>
    <t xml:space="preserve">COFR SIMPLOT STEAKHOUSE 700X                      </t>
  </si>
  <si>
    <t xml:space="preserve">COFR SIMPLOT TRAD 1.100X                          </t>
  </si>
  <si>
    <t xml:space="preserve">COFR SIMPLOT TRAD 700X                            </t>
  </si>
  <si>
    <t xml:space="preserve">COCO SADIA TIRITAS DE POLLO 300X                  </t>
  </si>
  <si>
    <t xml:space="preserve">COHA PATY HAMB DE CASA 2X120X                     </t>
  </si>
  <si>
    <t xml:space="preserve">COPO SADIA NUGGETS SAURIO 900X                    </t>
  </si>
  <si>
    <t xml:space="preserve">COHA PATY HAMB CLASI 2X160X                       </t>
  </si>
  <si>
    <t xml:space="preserve">COHA PATY HAMB CANCHA 2X125X                      </t>
  </si>
  <si>
    <t xml:space="preserve">COPO SADIA PATITAS POLLO 720X                     </t>
  </si>
  <si>
    <t xml:space="preserve">COCO GOOD MARK MILA 4X340X                        </t>
  </si>
  <si>
    <t xml:space="preserve">COHA BARFY MED 2X55X                              </t>
  </si>
  <si>
    <t xml:space="preserve">COHA BARFY MED 4X276X                             </t>
  </si>
  <si>
    <t xml:space="preserve">COHA PATY HAMB FIN 2X55X                          </t>
  </si>
  <si>
    <t xml:space="preserve">YOGU LS.YOGURISIMO NATU GRIEGO S/AZU 300X         </t>
  </si>
  <si>
    <t xml:space="preserve">YOGU LS.YOGURISIMO NATU GRIEGO C/AZU 300X         </t>
  </si>
  <si>
    <t xml:space="preserve">YOGU LS.YOGURISIMO GRIEGO VAIN 140X               </t>
  </si>
  <si>
    <t xml:space="preserve">YOGU LS.YOGURISIMO GRIEGO FRUT 140X               </t>
  </si>
  <si>
    <t xml:space="preserve">YOGU LS.YOGURISIMO ENT GRIEGO NATU/ENDL 190X      </t>
  </si>
  <si>
    <t xml:space="preserve">YOGU LS.YOGURISIMO GRIEGO ENT S/AZU 190X          </t>
  </si>
  <si>
    <t xml:space="preserve">YOGU LS.SER NATU 300X                             </t>
  </si>
  <si>
    <t xml:space="preserve">LAPO LS.DANETTE DDL 4X3 380X                      </t>
  </si>
  <si>
    <t xml:space="preserve">LAPO LS.DANETTE FLAN 4X3 380X                     </t>
  </si>
  <si>
    <t xml:space="preserve">LAPO LS.DANETTE CHOCO 4X3 380X                    </t>
  </si>
  <si>
    <t xml:space="preserve">LAPO LS.DANETTE FLAN VAIN 190X                    </t>
  </si>
  <si>
    <t xml:space="preserve">LAPO LS.DANETTE CHOC 190X                         </t>
  </si>
  <si>
    <t xml:space="preserve">LAPO LS.DANETTE DDL 190X                          </t>
  </si>
  <si>
    <t xml:space="preserve">LAPO LS.DANETTE CREM AMER 190X                    </t>
  </si>
  <si>
    <t xml:space="preserve">YOGU LS.NUTR.ACT BAT ENT VAIN 120X                </t>
  </si>
  <si>
    <t xml:space="preserve">YOGU LS.NUTR.ACT BAT ENT FRUT 120X                </t>
  </si>
  <si>
    <t xml:space="preserve">YOGU LS.NUTR.ACT BAT ENT DUR 120X                 </t>
  </si>
  <si>
    <t xml:space="preserve">YOGU LS.CLASICO NUTR.ACT ENT NAT S/ENDU 120X      </t>
  </si>
  <si>
    <t xml:space="preserve">YOGU LS.NUTR.ACT FIRM ENT VAIN 120X               </t>
  </si>
  <si>
    <t xml:space="preserve">YOGU LA.NUTR.ACT FIRM ENT FRUT 120X               </t>
  </si>
  <si>
    <t xml:space="preserve">YOGU LS.NUTR.ACT BAT DESC VAIN 120X               </t>
  </si>
  <si>
    <t xml:space="preserve">YOGU LS.NUTR.ACT BAT DESC FRUT 120X               </t>
  </si>
  <si>
    <t xml:space="preserve">YOGU LS.BATIDO NUTR.ACT C/CONF 164X               </t>
  </si>
  <si>
    <t xml:space="preserve">YOGU LS.CLASICO NUTR.ACT ENT C/CERE 159X          </t>
  </si>
  <si>
    <t xml:space="preserve">YOGU LA.NUTR.ACT DESC C/CERE 157X                 </t>
  </si>
  <si>
    <t xml:space="preserve">LAQU LS. CLASICO ENT VIT 290X                     </t>
  </si>
  <si>
    <t xml:space="preserve">LAQU LA SERENISIMA LIGHT 290X                     </t>
  </si>
  <si>
    <t xml:space="preserve">LAQU LS. CLASICO ENT VIT 460X                     </t>
  </si>
  <si>
    <t xml:space="preserve">LAQU LA SERENISIMA LIGHT 460X                     </t>
  </si>
  <si>
    <t xml:space="preserve">YOGU LS.CLASICO FIRME NUTR.ACT ENT VAI 190X       </t>
  </si>
  <si>
    <t xml:space="preserve">YOGU LS.CLASICO FIRME NUTR.ACT ENT FRU 190X       </t>
  </si>
  <si>
    <t xml:space="preserve">YOGU LS.CLASICO NUTR.ACT FIRME DESC/VAI 190X      </t>
  </si>
  <si>
    <t xml:space="preserve">YOGU LS.CLASICO NUTR.ACT DESC FRUT 190X           </t>
  </si>
  <si>
    <t xml:space="preserve">LAQU CASANCREM ENT FORT 290X                      </t>
  </si>
  <si>
    <t xml:space="preserve">LAQU CASANCREM FS VIT B3 290X                     </t>
  </si>
  <si>
    <t xml:space="preserve">LAQU CASANCREM LIGHT VIT B3 290X                  </t>
  </si>
  <si>
    <t xml:space="preserve">LAQU CASANCREM ENT 500X                           </t>
  </si>
  <si>
    <t xml:space="preserve">LAQU CASANCREM BALANCE 500X                       </t>
  </si>
  <si>
    <t xml:space="preserve">YOGU LS.CLASICO NUTR.ACT SACH ENT VAI 900X        </t>
  </si>
  <si>
    <t xml:space="preserve">YOGU LS.CLASICO NUTR.ACT SACH ENT FRU 900X        </t>
  </si>
  <si>
    <t xml:space="preserve">YOGU LS.CLASICO NUTR.ACT SACH ENT DUR 900X        </t>
  </si>
  <si>
    <t xml:space="preserve">YOGU LS.NUTR.ACT CLASICO DESC VAIN 900X           </t>
  </si>
  <si>
    <t xml:space="preserve">YOGU LS.NUTR.ACT DESC FRUT 900X                   </t>
  </si>
  <si>
    <t xml:space="preserve">YOGU GRANC ENT.BEB VAIN 900X                      </t>
  </si>
  <si>
    <t xml:space="preserve">YOGU GRANC ENT.BEB FRUT 900X                      </t>
  </si>
  <si>
    <t xml:space="preserve">JUGN CEPITA MZNA 1X                               </t>
  </si>
  <si>
    <t xml:space="preserve">JUGN CEPITA MULT 1X                               </t>
  </si>
  <si>
    <t xml:space="preserve">JUGN CEPITA NAR 1X                                </t>
  </si>
  <si>
    <t xml:space="preserve">AGUS AQUARIUS NJA 1.5X                            </t>
  </si>
  <si>
    <t xml:space="preserve">AGUS AQUARIUS POM RDO 1.5X                        </t>
  </si>
  <si>
    <t xml:space="preserve">AGUS AQUARIUS LIMONADA 1.5X                       </t>
  </si>
  <si>
    <t xml:space="preserve">AGUS AQUARIUS PERA 1.5X                           </t>
  </si>
  <si>
    <t xml:space="preserve">AGUS AQUARIUS MZNA 1.5X                           </t>
  </si>
  <si>
    <t xml:space="preserve">AGUS AQUARIUS POMELO 1.5X                         </t>
  </si>
  <si>
    <t xml:space="preserve">AGUS AQUARIUS UVA 1.5X                            </t>
  </si>
  <si>
    <t xml:space="preserve">AGUS AQUARIUS ANANA-JENG 1.5X                     </t>
  </si>
  <si>
    <t xml:space="preserve">ENER MONSTER GREEN LAT 473X                       </t>
  </si>
  <si>
    <t xml:space="preserve">ENER MONSTER MANGO LOCO LAT 473X                  </t>
  </si>
  <si>
    <t xml:space="preserve">ENER MONSTER SUNRISE LAT 473X                     </t>
  </si>
  <si>
    <t xml:space="preserve">ENER MONSTER ULTRA LAT 473X                       </t>
  </si>
  <si>
    <t xml:space="preserve">ENER MONSTER THE DOCTOR LAT 473X                  </t>
  </si>
  <si>
    <t xml:space="preserve">ENER MONSTER WATERMELON LAT 473X                  </t>
  </si>
  <si>
    <t xml:space="preserve">ENER MONSTER PINEAPPLE LAT 473X                   </t>
  </si>
  <si>
    <t xml:space="preserve">ENER MONSTER ZERO GREEN LAT 473X                  </t>
  </si>
  <si>
    <t xml:space="preserve">ENER MONSTER PIPELINE PUNCH LAT 473X              </t>
  </si>
  <si>
    <t xml:space="preserve">GAS  COCA COLA ORIG PET 3X                        </t>
  </si>
  <si>
    <t xml:space="preserve">GAS  CRUSH MANZA 3X                               </t>
  </si>
  <si>
    <t xml:space="preserve">GAS  CRUSH NJA 3X                                 </t>
  </si>
  <si>
    <t xml:space="preserve">GAS  CRUSH POMELO 3X                              </t>
  </si>
  <si>
    <t xml:space="preserve">GAS  CRUSH LIMA LIMON 3X                          </t>
  </si>
  <si>
    <t xml:space="preserve">AGUA BENEDICTINO S/G 2X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</si>
</sst>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\ #,##0.00;[Red]\-&quot;$&quot;\ #,##0.00"/>
    <numFmt numFmtId="165" formatCode="dd/mm/yyyy;@"/>
    <numFmt numFmtId="166" formatCode="_-[$$-2C0A]\ * #,##0.00_-;\-[$$-2C0A]\ * #,##0.00_-;_-[$$-2C0A]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9"/>
      <color rgb="FFFF0000"/>
      <name val="Aptos Narrow"/>
      <family val="2"/>
    </font>
    <font>
      <sz val="10"/>
      <name val="Aptos Narrow"/>
      <family val="2"/>
    </font>
    <font>
      <sz val="11"/>
      <color rgb="FFFF0000"/>
      <name val="Calibri"/>
      <family val="2"/>
      <scheme val="minor"/>
    </font>
    <font>
      <sz val="10"/>
      <color rgb="FFFF0000"/>
      <name val="Aptos Narrow"/>
      <family val="2"/>
    </font>
    <font>
      <b/>
      <sz val="9"/>
      <color theme="1"/>
      <name val="Aptos Narrow"/>
      <family val="2"/>
    </font>
    <font>
      <b/>
      <sz val="9"/>
      <color rgb="FFFF0000"/>
      <name val="Aptos Narrow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2" fillId="2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165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4" fillId="0" borderId="1" xfId="1" applyNumberFormat="1" applyFont="1" applyFill="1" applyBorder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166" fontId="2" fillId="0" borderId="0" xfId="0" applyNumberFormat="1" applyFont="1"/>
    <xf numFmtId="165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/>
    <xf numFmtId="166" fontId="7" fillId="0" borderId="0" xfId="0" applyNumberFormat="1" applyFont="1"/>
    <xf numFmtId="14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1" fontId="2" fillId="0" borderId="0" xfId="2" applyNumberFormat="1" applyFont="1" applyFill="1" applyAlignment="1">
      <alignment horizontal="left" vertical="center"/>
    </xf>
    <xf numFmtId="9" fontId="2" fillId="2" borderId="0" xfId="2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left" vertical="center"/>
    </xf>
    <xf numFmtId="166" fontId="2" fillId="3" borderId="0" xfId="1" applyNumberFormat="1" applyFont="1" applyFill="1" applyAlignment="1">
      <alignment horizontal="left" vertical="center"/>
    </xf>
    <xf numFmtId="166" fontId="2" fillId="2" borderId="0" xfId="0" applyNumberFormat="1" applyFont="1" applyFill="1" applyAlignment="1">
      <alignment horizontal="left" vertical="center"/>
    </xf>
    <xf numFmtId="166" fontId="2" fillId="2" borderId="0" xfId="1" applyNumberFormat="1" applyFont="1" applyFill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2" applyNumberFormat="1" applyFont="1" applyFill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66" fontId="3" fillId="0" borderId="0" xfId="0" applyNumberFormat="1" applyFont="1"/>
    <xf numFmtId="0" fontId="9" fillId="0" borderId="0" xfId="0" applyFont="1"/>
    <xf numFmtId="1" fontId="9" fillId="0" borderId="0" xfId="0" applyNumberFormat="1" applyFont="1"/>
    <xf numFmtId="166" fontId="9" fillId="0" borderId="0" xfId="0" applyNumberFormat="1" applyFont="1"/>
    <xf numFmtId="0" fontId="9" fillId="0" borderId="0" xfId="0" applyFont="1" applyAlignment="1">
      <alignment horizontal="center"/>
    </xf>
    <xf numFmtId="14" fontId="9" fillId="0" borderId="0" xfId="0" applyNumberFormat="1" applyFont="1"/>
    <xf numFmtId="0" fontId="2" fillId="2" borderId="0" xfId="0" applyFont="1" applyFill="1"/>
    <xf numFmtId="166" fontId="2" fillId="2" borderId="0" xfId="0" applyNumberFormat="1" applyFont="1" applyFill="1"/>
    <xf numFmtId="166" fontId="0" fillId="0" borderId="0" xfId="0" applyNumberFormat="1"/>
    <xf numFmtId="166" fontId="6" fillId="0" borderId="0" xfId="0" applyNumberFormat="1" applyFont="1"/>
    <xf numFmtId="0" fontId="11" fillId="0" borderId="0" xfId="0" applyFont="1"/>
    <xf numFmtId="1" fontId="11" fillId="0" borderId="0" xfId="0" applyNumberFormat="1" applyFont="1"/>
    <xf numFmtId="166" fontId="11" fillId="0" borderId="0" xfId="0" applyNumberFormat="1" applyFont="1"/>
    <xf numFmtId="0" fontId="11" fillId="0" borderId="0" xfId="0" applyFont="1" applyAlignment="1">
      <alignment horizontal="center"/>
    </xf>
    <xf numFmtId="14" fontId="11" fillId="0" borderId="0" xfId="0" applyNumberFormat="1" applyFont="1"/>
    <xf numFmtId="166" fontId="10" fillId="0" borderId="0" xfId="0" applyNumberFormat="1" applyFont="1"/>
    <xf numFmtId="0" fontId="8" fillId="0" borderId="0" xfId="0" applyFont="1"/>
    <xf numFmtId="166" fontId="8" fillId="0" borderId="0" xfId="0" applyNumberFormat="1" applyFont="1"/>
    <xf numFmtId="1" fontId="2" fillId="2" borderId="0" xfId="0" applyNumberFormat="1" applyFont="1" applyFill="1"/>
    <xf numFmtId="10" fontId="2" fillId="2" borderId="0" xfId="2" applyNumberFormat="1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166" fontId="8" fillId="3" borderId="0" xfId="0" applyNumberFormat="1" applyFont="1" applyFill="1"/>
    <xf numFmtId="14" fontId="3" fillId="0" borderId="0" xfId="0" applyNumberFormat="1" applyFont="1" applyAlignment="1">
      <alignment horizontal="center"/>
    </xf>
    <xf numFmtId="9" fontId="0" fillId="0" borderId="0" xfId="2" applyFont="1"/>
    <xf numFmtId="14" fontId="0" fillId="0" borderId="0" xfId="0" applyNumberFormat="1"/>
    <xf numFmtId="2" fontId="0" fillId="0" borderId="0" xfId="0" applyNumberFormat="1"/>
    <xf numFmtId="0" fontId="4" fillId="0" borderId="0" xfId="0" applyFont="1"/>
    <xf numFmtId="166" fontId="4" fillId="0" borderId="0" xfId="0" applyNumberFormat="1" applyFont="1"/>
    <xf numFmtId="14" fontId="4" fillId="0" borderId="0" xfId="0" applyNumberFormat="1" applyFont="1"/>
    <xf numFmtId="0" fontId="1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" fontId="3" fillId="0" borderId="0" xfId="0" applyNumberFormat="1" applyFont="1"/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66" fontId="2" fillId="4" borderId="0" xfId="0" applyNumberFormat="1" applyFont="1" applyFill="1" applyAlignment="1">
      <alignment horizontal="left" vertical="center"/>
    </xf>
    <xf numFmtId="166" fontId="2" fillId="4" borderId="0" xfId="1" applyNumberFormat="1" applyFont="1" applyFill="1" applyAlignment="1">
      <alignment horizontal="left" vertical="center"/>
    </xf>
    <xf numFmtId="9" fontId="2" fillId="4" borderId="0" xfId="2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6" fontId="8" fillId="4" borderId="0" xfId="0" applyNumberFormat="1" applyFont="1" applyFill="1"/>
    <xf numFmtId="0" fontId="0" fillId="4" borderId="0" xfId="0" applyFill="1"/>
    <xf numFmtId="0" fontId="0" fillId="4" borderId="0" xfId="0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/>
    <xf numFmtId="0" fontId="3" fillId="2" borderId="0" xfId="0" applyFont="1" applyFill="1"/>
    <xf numFmtId="166" fontId="3" fillId="2" borderId="0" xfId="0" applyNumberFormat="1" applyFont="1" applyFill="1"/>
    <xf numFmtId="166" fontId="8" fillId="2" borderId="0" xfId="0" applyNumberFormat="1" applyFont="1" applyFill="1"/>
    <xf numFmtId="9" fontId="3" fillId="2" borderId="0" xfId="2" applyFont="1" applyFill="1" applyAlignment="1">
      <alignment horizontal="center"/>
    </xf>
    <xf numFmtId="14" fontId="3" fillId="2" borderId="0" xfId="0" applyNumberFormat="1" applyFont="1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" fontId="12" fillId="2" borderId="0" xfId="0" applyNumberFormat="1" applyFont="1" applyFill="1"/>
    <xf numFmtId="0" fontId="12" fillId="2" borderId="0" xfId="0" applyFont="1" applyFill="1"/>
    <xf numFmtId="166" fontId="12" fillId="2" borderId="0" xfId="0" applyNumberFormat="1" applyFont="1" applyFill="1"/>
    <xf numFmtId="166" fontId="13" fillId="2" borderId="0" xfId="0" applyNumberFormat="1" applyFont="1" applyFill="1"/>
    <xf numFmtId="9" fontId="12" fillId="2" borderId="0" xfId="2" applyFont="1" applyFill="1" applyAlignment="1">
      <alignment horizontal="center"/>
    </xf>
    <xf numFmtId="14" fontId="12" fillId="2" borderId="0" xfId="0" applyNumberFormat="1" applyFont="1" applyFill="1"/>
    <xf numFmtId="165" fontId="4" fillId="2" borderId="0" xfId="0" applyNumberFormat="1" applyFon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6" fontId="3" fillId="2" borderId="0" xfId="0" applyNumberFormat="1" applyFont="1" applyFill="1" applyAlignment="1">
      <alignment horizontal="left" vertical="center"/>
    </xf>
    <xf numFmtId="166" fontId="3" fillId="2" borderId="0" xfId="1" applyNumberFormat="1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left" vertical="center"/>
    </xf>
    <xf numFmtId="9" fontId="3" fillId="2" borderId="0" xfId="2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" fontId="8" fillId="4" borderId="0" xfId="0" applyNumberFormat="1" applyFont="1" applyFill="1"/>
    <xf numFmtId="0" fontId="8" fillId="4" borderId="0" xfId="0" applyFont="1" applyFill="1"/>
    <xf numFmtId="9" fontId="8" fillId="4" borderId="0" xfId="2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166" fontId="0" fillId="4" borderId="0" xfId="0" applyNumberFormat="1" applyFill="1"/>
    <xf numFmtId="1" fontId="8" fillId="4" borderId="3" xfId="0" applyNumberFormat="1" applyFont="1" applyFill="1" applyBorder="1"/>
    <xf numFmtId="166" fontId="8" fillId="4" borderId="0" xfId="1" applyNumberFormat="1" applyFont="1" applyFill="1" applyAlignment="1">
      <alignment horizontal="left" vertical="center"/>
    </xf>
    <xf numFmtId="10" fontId="8" fillId="4" borderId="0" xfId="2" applyNumberFormat="1" applyFont="1" applyFill="1" applyBorder="1" applyAlignment="1">
      <alignment horizontal="center"/>
    </xf>
    <xf numFmtId="14" fontId="8" fillId="4" borderId="0" xfId="0" applyNumberFormat="1" applyFont="1" applyFill="1" applyAlignment="1">
      <alignment horizontal="center"/>
    </xf>
    <xf numFmtId="165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166" fontId="8" fillId="4" borderId="0" xfId="0" applyNumberFormat="1" applyFont="1" applyFill="1" applyAlignment="1">
      <alignment horizontal="left" vertical="center"/>
    </xf>
    <xf numFmtId="166" fontId="8" fillId="4" borderId="0" xfId="1" applyNumberFormat="1" applyFont="1" applyFill="1" applyAlignment="1">
      <alignment horizontal="center" vertical="center"/>
    </xf>
    <xf numFmtId="9" fontId="8" fillId="4" borderId="0" xfId="2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12" fillId="4" borderId="0" xfId="0" applyFont="1" applyFill="1"/>
    <xf numFmtId="166" fontId="13" fillId="3" borderId="0" xfId="0" applyNumberFormat="1" applyFont="1" applyFill="1"/>
    <xf numFmtId="14" fontId="12" fillId="2" borderId="0" xfId="0" applyNumberFormat="1" applyFont="1" applyFill="1" applyAlignment="1">
      <alignment horizontal="center"/>
    </xf>
    <xf numFmtId="10" fontId="3" fillId="2" borderId="0" xfId="2" applyNumberFormat="1" applyFont="1" applyFill="1" applyAlignment="1">
      <alignment horizontal="center"/>
    </xf>
    <xf numFmtId="166" fontId="12" fillId="4" borderId="0" xfId="0" applyNumberFormat="1" applyFont="1" applyFill="1"/>
    <xf numFmtId="166" fontId="13" fillId="4" borderId="0" xfId="0" applyNumberFormat="1" applyFont="1" applyFill="1"/>
    <xf numFmtId="1" fontId="12" fillId="4" borderId="0" xfId="0" applyNumberFormat="1" applyFont="1" applyFill="1"/>
    <xf numFmtId="0" fontId="12" fillId="4" borderId="0" xfId="0" applyFont="1" applyFill="1" applyAlignment="1">
      <alignment horizontal="right"/>
    </xf>
    <xf numFmtId="10" fontId="12" fillId="4" borderId="0" xfId="2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4" fontId="12" fillId="4" borderId="0" xfId="0" applyNumberFormat="1" applyFont="1" applyFill="1" applyAlignment="1">
      <alignment horizontal="center"/>
    </xf>
    <xf numFmtId="9" fontId="12" fillId="4" borderId="0" xfId="2" applyFont="1" applyFill="1" applyAlignment="1">
      <alignment horizontal="center"/>
    </xf>
    <xf numFmtId="1" fontId="12" fillId="4" borderId="3" xfId="0" applyNumberFormat="1" applyFont="1" applyFill="1" applyBorder="1"/>
    <xf numFmtId="10" fontId="12" fillId="4" borderId="0" xfId="2" applyNumberFormat="1" applyFont="1" applyFill="1" applyBorder="1" applyAlignment="1">
      <alignment horizontal="center"/>
    </xf>
    <xf numFmtId="1" fontId="4" fillId="4" borderId="0" xfId="0" applyNumberFormat="1" applyFont="1" applyFill="1"/>
    <xf numFmtId="0" fontId="4" fillId="4" borderId="0" xfId="0" applyFont="1" applyFill="1"/>
    <xf numFmtId="166" fontId="4" fillId="4" borderId="0" xfId="0" applyNumberFormat="1" applyFont="1" applyFill="1"/>
    <xf numFmtId="9" fontId="4" fillId="4" borderId="0" xfId="2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10" fontId="4" fillId="4" borderId="0" xfId="2" applyNumberFormat="1" applyFont="1" applyFill="1" applyAlignment="1">
      <alignment horizontal="center"/>
    </xf>
    <xf numFmtId="1" fontId="12" fillId="4" borderId="0" xfId="0" applyNumberFormat="1" applyFont="1" applyFill="1" applyBorder="1"/>
    <xf numFmtId="1" fontId="3" fillId="2" borderId="3" xfId="0" applyNumberFormat="1" applyFont="1" applyFill="1" applyBorder="1"/>
    <xf numFmtId="1" fontId="2" fillId="2" borderId="0" xfId="0" applyNumberFormat="1" applyFont="1" applyFill="1" applyBorder="1"/>
    <xf numFmtId="0" fontId="2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8" fillId="4" borderId="0" xfId="0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0" fontId="3" fillId="4" borderId="0" xfId="0" applyFont="1" applyFill="1" applyBorder="1"/>
    <xf numFmtId="0" fontId="12" fillId="0" borderId="4" xfId="0" applyFont="1" applyBorder="1"/>
    <xf numFmtId="10" fontId="3" fillId="0" borderId="0" xfId="2" applyNumberFormat="1" applyFont="1"/>
    <xf numFmtId="14" fontId="3" fillId="0" borderId="0" xfId="0" applyNumberFormat="1" applyFont="1"/>
    <xf numFmtId="9" fontId="3" fillId="0" borderId="0" xfId="2" applyFont="1"/>
    <xf numFmtId="14" fontId="14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83FB-36F5-4F27-8307-22D458931910}">
  <dimension ref="A1:O991"/>
  <sheetViews>
    <sheetView tabSelected="1" workbookViewId="0">
      <selection activeCell="A843" sqref="A843:L991"/>
    </sheetView>
  </sheetViews>
  <sheetFormatPr baseColWidth="10" defaultRowHeight="15"/>
  <cols>
    <col min="1" max="1" width="8.85546875" bestFit="1" customWidth="1"/>
    <col min="2" max="2" width="9.5703125" bestFit="1" customWidth="1"/>
    <col min="3" max="3" width="12.140625" bestFit="1" customWidth="1"/>
    <col min="4" max="4" width="37.28515625" bestFit="1" customWidth="1"/>
    <col min="7" max="7" width="11" bestFit="1" customWidth="1"/>
    <col min="8" max="8" width="6.28515625" bestFit="1" customWidth="1"/>
    <col min="9" max="9" width="10.42578125" bestFit="1" customWidth="1"/>
    <col min="10" max="10" width="10.7109375" bestFit="1" customWidth="1"/>
    <col min="11" max="11" width="8.140625" style="15" bestFit="1" customWidth="1"/>
    <col min="12" max="12" width="9" style="15" bestFit="1" customWidth="1"/>
    <col min="13" max="13" width="32.28515625" style="15" bestFit="1" customWidth="1"/>
    <col min="14" max="14" width="12" bestFit="1" customWidth="1"/>
  </cols>
  <sheetData>
    <row r="1" spans="1:15" s="36" customForma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8" t="s">
        <v>10</v>
      </c>
      <c r="L1" s="38" t="s">
        <v>11</v>
      </c>
      <c r="M1" s="38" t="s">
        <v>12</v>
      </c>
    </row>
    <row r="2" spans="1:15">
      <c r="A2">
        <v>8466</v>
      </c>
      <c r="B2" t="s">
        <v>295</v>
      </c>
      <c r="C2" s="64">
        <v>7796039001639</v>
      </c>
      <c r="D2" t="s">
        <v>296</v>
      </c>
      <c r="E2" s="47">
        <v>4373.75</v>
      </c>
      <c r="F2" s="47">
        <v>3499</v>
      </c>
      <c r="G2" s="54">
        <v>-874.75</v>
      </c>
      <c r="H2" s="62">
        <v>0.2</v>
      </c>
      <c r="I2" t="s">
        <v>113</v>
      </c>
      <c r="J2" t="s">
        <v>75</v>
      </c>
      <c r="K2" s="63">
        <v>46204</v>
      </c>
      <c r="L2" s="63">
        <v>46234</v>
      </c>
      <c r="M2" t="s">
        <v>63</v>
      </c>
    </row>
    <row r="3" spans="1:15">
      <c r="A3" s="73">
        <v>1361</v>
      </c>
      <c r="B3" s="74">
        <v>2</v>
      </c>
      <c r="C3" s="75">
        <v>7790272001029</v>
      </c>
      <c r="D3" s="76" t="s">
        <v>95</v>
      </c>
      <c r="E3" s="77">
        <v>10823.88</v>
      </c>
      <c r="F3" s="78">
        <v>7576.7159999999985</v>
      </c>
      <c r="G3" s="78">
        <v>-3247.1640000000007</v>
      </c>
      <c r="H3" s="79">
        <v>0.3</v>
      </c>
      <c r="I3" s="73" t="s">
        <v>18</v>
      </c>
      <c r="J3" s="73" t="s">
        <v>94</v>
      </c>
      <c r="K3" s="80">
        <v>46206</v>
      </c>
      <c r="L3" s="80">
        <v>46234</v>
      </c>
      <c r="M3" s="81" t="s">
        <v>63</v>
      </c>
      <c r="N3" s="47"/>
      <c r="O3" s="47"/>
    </row>
    <row r="4" spans="1:15">
      <c r="A4" s="73">
        <v>1363</v>
      </c>
      <c r="B4" s="74">
        <v>3</v>
      </c>
      <c r="C4" s="75">
        <v>7790272001036</v>
      </c>
      <c r="D4" s="76" t="s">
        <v>96</v>
      </c>
      <c r="E4" s="77">
        <v>21215.27</v>
      </c>
      <c r="F4" s="78">
        <v>14850.688999999998</v>
      </c>
      <c r="G4" s="78">
        <v>-6364.5810000000019</v>
      </c>
      <c r="H4" s="79">
        <v>0.3</v>
      </c>
      <c r="I4" s="73" t="s">
        <v>18</v>
      </c>
      <c r="J4" s="73" t="s">
        <v>94</v>
      </c>
      <c r="K4" s="80">
        <v>46206</v>
      </c>
      <c r="L4" s="80">
        <v>46234</v>
      </c>
      <c r="M4" s="81" t="s">
        <v>63</v>
      </c>
      <c r="N4" s="47"/>
      <c r="O4" s="47"/>
    </row>
    <row r="5" spans="1:15">
      <c r="A5" s="73">
        <v>5166</v>
      </c>
      <c r="B5" s="74">
        <v>4</v>
      </c>
      <c r="C5" s="75">
        <v>7790272004112</v>
      </c>
      <c r="D5" s="76" t="s">
        <v>274</v>
      </c>
      <c r="E5" s="77">
        <v>35355.360000000001</v>
      </c>
      <c r="F5" s="78">
        <v>24748.752</v>
      </c>
      <c r="G5" s="78">
        <v>-10606.608</v>
      </c>
      <c r="H5" s="79">
        <v>0.3</v>
      </c>
      <c r="I5" s="73" t="s">
        <v>18</v>
      </c>
      <c r="J5" s="73" t="s">
        <v>94</v>
      </c>
      <c r="K5" s="80">
        <v>46206</v>
      </c>
      <c r="L5" s="80">
        <v>46234</v>
      </c>
      <c r="M5" s="81" t="s">
        <v>63</v>
      </c>
      <c r="N5" s="47"/>
      <c r="O5" s="47"/>
    </row>
    <row r="6" spans="1:15">
      <c r="A6" s="73">
        <v>1442</v>
      </c>
      <c r="B6" s="74">
        <v>1</v>
      </c>
      <c r="C6" s="75">
        <v>7790272001005</v>
      </c>
      <c r="D6" s="76" t="s">
        <v>97</v>
      </c>
      <c r="E6" s="77">
        <v>6954.08</v>
      </c>
      <c r="F6" s="78">
        <v>4867.8559999999998</v>
      </c>
      <c r="G6" s="78">
        <v>-2086.2240000000002</v>
      </c>
      <c r="H6" s="79">
        <v>0.3</v>
      </c>
      <c r="I6" s="73" t="s">
        <v>18</v>
      </c>
      <c r="J6" s="73" t="s">
        <v>94</v>
      </c>
      <c r="K6" s="80">
        <v>46206</v>
      </c>
      <c r="L6" s="80">
        <v>46234</v>
      </c>
      <c r="M6" s="81" t="s">
        <v>63</v>
      </c>
      <c r="N6" s="47"/>
      <c r="O6" s="47"/>
    </row>
    <row r="7" spans="1:15">
      <c r="A7" s="3">
        <v>665598</v>
      </c>
      <c r="B7" s="4">
        <v>1792</v>
      </c>
      <c r="C7" s="2">
        <v>7790272008387</v>
      </c>
      <c r="D7" s="1" t="s">
        <v>78</v>
      </c>
      <c r="E7" s="32">
        <v>18229.3</v>
      </c>
      <c r="F7" s="33">
        <v>14583.44</v>
      </c>
      <c r="G7" s="31">
        <v>-3645.8599999999988</v>
      </c>
      <c r="H7" s="28">
        <v>0.2</v>
      </c>
      <c r="I7" s="3" t="s">
        <v>18</v>
      </c>
      <c r="J7" s="3" t="s">
        <v>75</v>
      </c>
      <c r="K7" s="29">
        <v>46204</v>
      </c>
      <c r="L7" s="29">
        <v>46234</v>
      </c>
      <c r="M7" s="6" t="s">
        <v>63</v>
      </c>
      <c r="N7" s="47"/>
      <c r="O7" s="47"/>
    </row>
    <row r="8" spans="1:15">
      <c r="A8" s="3">
        <v>3630</v>
      </c>
      <c r="B8" s="4">
        <v>20</v>
      </c>
      <c r="C8" s="2">
        <v>7790272005508</v>
      </c>
      <c r="D8" s="1" t="s">
        <v>79</v>
      </c>
      <c r="E8" s="32">
        <v>4912.8860000000004</v>
      </c>
      <c r="F8" s="33">
        <v>3930.3088000000007</v>
      </c>
      <c r="G8" s="31">
        <v>-982.57719999999972</v>
      </c>
      <c r="H8" s="28">
        <v>0.2</v>
      </c>
      <c r="I8" s="3" t="s">
        <v>18</v>
      </c>
      <c r="J8" s="3" t="s">
        <v>75</v>
      </c>
      <c r="K8" s="29">
        <v>46204</v>
      </c>
      <c r="L8" s="29">
        <v>46234</v>
      </c>
      <c r="M8" s="6" t="s">
        <v>63</v>
      </c>
      <c r="N8" s="47"/>
      <c r="O8" s="47"/>
    </row>
    <row r="9" spans="1:15">
      <c r="A9" s="3">
        <v>7485</v>
      </c>
      <c r="B9" s="4">
        <v>225</v>
      </c>
      <c r="C9" s="2">
        <v>7790272000954</v>
      </c>
      <c r="D9" s="1" t="s">
        <v>80</v>
      </c>
      <c r="E9" s="32">
        <v>6424.5690000000004</v>
      </c>
      <c r="F9" s="33">
        <v>5139.6552000000011</v>
      </c>
      <c r="G9" s="31">
        <v>-1284.9137999999994</v>
      </c>
      <c r="H9" s="28">
        <v>0.2</v>
      </c>
      <c r="I9" s="3" t="s">
        <v>18</v>
      </c>
      <c r="J9" s="3" t="s">
        <v>75</v>
      </c>
      <c r="K9" s="29">
        <v>46204</v>
      </c>
      <c r="L9" s="29">
        <v>46234</v>
      </c>
      <c r="M9" s="6" t="s">
        <v>63</v>
      </c>
      <c r="N9" s="47"/>
      <c r="O9" s="47"/>
    </row>
    <row r="10" spans="1:15">
      <c r="A10" s="23">
        <v>14162</v>
      </c>
      <c r="B10" s="23">
        <v>1199</v>
      </c>
      <c r="C10" s="22">
        <v>7792900000312</v>
      </c>
      <c r="D10" s="5" t="s">
        <v>271</v>
      </c>
      <c r="E10" s="24">
        <v>4556.9260000000004</v>
      </c>
      <c r="F10" s="26">
        <v>3873.3871000000004</v>
      </c>
      <c r="G10" s="31">
        <v>-683.53890000000001</v>
      </c>
      <c r="H10" s="28">
        <v>0.15</v>
      </c>
      <c r="I10" s="3" t="s">
        <v>18</v>
      </c>
      <c r="J10" s="3" t="s">
        <v>70</v>
      </c>
      <c r="K10" s="29">
        <v>46204</v>
      </c>
      <c r="L10" s="6">
        <v>46234</v>
      </c>
      <c r="M10" s="6" t="s">
        <v>63</v>
      </c>
      <c r="N10" s="47"/>
      <c r="O10" s="47"/>
    </row>
    <row r="11" spans="1:15">
      <c r="A11" s="3">
        <v>19680</v>
      </c>
      <c r="B11" s="4">
        <v>511</v>
      </c>
      <c r="C11" s="2">
        <v>7791866000381</v>
      </c>
      <c r="D11" s="1" t="s">
        <v>74</v>
      </c>
      <c r="E11" s="32">
        <v>2300.7460000000001</v>
      </c>
      <c r="F11" s="33">
        <v>1840.5968000000003</v>
      </c>
      <c r="G11" s="31">
        <v>-460.14919999999984</v>
      </c>
      <c r="H11" s="28">
        <v>0.2</v>
      </c>
      <c r="I11" s="3" t="s">
        <v>18</v>
      </c>
      <c r="J11" s="3" t="s">
        <v>75</v>
      </c>
      <c r="K11" s="29">
        <v>46204</v>
      </c>
      <c r="L11" s="29">
        <v>46234</v>
      </c>
      <c r="M11" s="6" t="s">
        <v>63</v>
      </c>
      <c r="N11" s="47"/>
      <c r="O11" s="47"/>
    </row>
    <row r="12" spans="1:15">
      <c r="A12" s="23">
        <v>667318</v>
      </c>
      <c r="B12" s="23">
        <v>3251</v>
      </c>
      <c r="C12" s="22">
        <v>7791866004471</v>
      </c>
      <c r="D12" s="5" t="s">
        <v>263</v>
      </c>
      <c r="E12" s="24">
        <v>2263.4969999999998</v>
      </c>
      <c r="F12" s="26">
        <v>1923.9724499999998</v>
      </c>
      <c r="G12" s="31">
        <v>-339.52455000000009</v>
      </c>
      <c r="H12" s="28">
        <v>0.15</v>
      </c>
      <c r="I12" s="3" t="s">
        <v>18</v>
      </c>
      <c r="J12" s="3" t="s">
        <v>70</v>
      </c>
      <c r="K12" s="29">
        <v>46204</v>
      </c>
      <c r="L12" s="6">
        <v>46234</v>
      </c>
      <c r="M12" s="6" t="s">
        <v>63</v>
      </c>
      <c r="N12" s="47"/>
      <c r="O12" s="47"/>
    </row>
    <row r="13" spans="1:15">
      <c r="A13" s="3">
        <v>19681</v>
      </c>
      <c r="B13" s="4">
        <v>512</v>
      </c>
      <c r="C13" s="2">
        <v>7791866000480</v>
      </c>
      <c r="D13" s="1" t="s">
        <v>77</v>
      </c>
      <c r="E13" s="32">
        <v>2422.1010000000001</v>
      </c>
      <c r="F13" s="33">
        <v>1937.6808000000001</v>
      </c>
      <c r="G13" s="31">
        <v>-484.42020000000002</v>
      </c>
      <c r="H13" s="28">
        <v>0.2</v>
      </c>
      <c r="I13" s="3" t="s">
        <v>18</v>
      </c>
      <c r="J13" s="3" t="s">
        <v>75</v>
      </c>
      <c r="K13" s="29">
        <v>46204</v>
      </c>
      <c r="L13" s="29">
        <v>46234</v>
      </c>
      <c r="M13" s="6" t="s">
        <v>63</v>
      </c>
      <c r="N13" s="47"/>
      <c r="O13" s="47"/>
    </row>
    <row r="14" spans="1:15">
      <c r="A14" s="23">
        <v>666331</v>
      </c>
      <c r="B14" s="23">
        <v>1955</v>
      </c>
      <c r="C14" s="22">
        <v>7798146139434</v>
      </c>
      <c r="D14" s="5" t="s">
        <v>272</v>
      </c>
      <c r="E14" s="24">
        <v>4953.22</v>
      </c>
      <c r="F14" s="26">
        <v>4210.2370000000001</v>
      </c>
      <c r="G14" s="31">
        <v>-742.98300000000017</v>
      </c>
      <c r="H14" s="28">
        <v>0.15</v>
      </c>
      <c r="I14" s="3" t="s">
        <v>18</v>
      </c>
      <c r="J14" s="3" t="s">
        <v>70</v>
      </c>
      <c r="K14" s="29">
        <v>46204</v>
      </c>
      <c r="L14" s="6">
        <v>46234</v>
      </c>
      <c r="M14" s="6" t="s">
        <v>63</v>
      </c>
      <c r="N14" s="47"/>
      <c r="O14" s="47"/>
    </row>
    <row r="15" spans="1:15">
      <c r="A15" s="3">
        <v>5269</v>
      </c>
      <c r="B15" s="3">
        <v>2683</v>
      </c>
      <c r="C15" s="2">
        <v>7790895647789</v>
      </c>
      <c r="D15" s="1" t="s">
        <v>669</v>
      </c>
      <c r="E15" s="32">
        <v>5652.3180000000002</v>
      </c>
      <c r="F15" s="102">
        <v>3956.6225999999997</v>
      </c>
      <c r="G15" s="33">
        <v>-1695.6954000000005</v>
      </c>
      <c r="H15" s="28">
        <v>0.3</v>
      </c>
      <c r="I15" s="3" t="s">
        <v>18</v>
      </c>
      <c r="J15" s="3" t="s">
        <v>94</v>
      </c>
      <c r="K15" s="29">
        <v>46205</v>
      </c>
      <c r="L15" s="6">
        <v>46234</v>
      </c>
      <c r="M15" s="6" t="s">
        <v>718</v>
      </c>
      <c r="N15" s="47"/>
      <c r="O15" s="47"/>
    </row>
    <row r="16" spans="1:15">
      <c r="A16" s="3">
        <v>658184</v>
      </c>
      <c r="B16" s="3">
        <v>2781</v>
      </c>
      <c r="C16" s="2">
        <v>7790895647758</v>
      </c>
      <c r="D16" s="1" t="s">
        <v>673</v>
      </c>
      <c r="E16" s="32">
        <v>1602.8230000000001</v>
      </c>
      <c r="F16" s="102">
        <v>1041.8349500000002</v>
      </c>
      <c r="G16" s="33">
        <v>-560.98804999999993</v>
      </c>
      <c r="H16" s="28">
        <v>0.35</v>
      </c>
      <c r="I16" s="3" t="s">
        <v>15</v>
      </c>
      <c r="J16" s="3" t="s">
        <v>16</v>
      </c>
      <c r="K16" s="29">
        <v>46205</v>
      </c>
      <c r="L16" s="6">
        <v>46234</v>
      </c>
      <c r="M16" s="6" t="s">
        <v>718</v>
      </c>
      <c r="N16" s="47"/>
      <c r="O16" s="47"/>
    </row>
    <row r="17" spans="1:15">
      <c r="A17" s="3">
        <v>10514</v>
      </c>
      <c r="B17" s="3">
        <v>2681</v>
      </c>
      <c r="C17" s="2">
        <v>7790895647741</v>
      </c>
      <c r="D17" s="1" t="s">
        <v>672</v>
      </c>
      <c r="E17" s="32">
        <v>1602.684</v>
      </c>
      <c r="F17" s="102">
        <v>1041.7446</v>
      </c>
      <c r="G17" s="33">
        <v>-560.93939999999998</v>
      </c>
      <c r="H17" s="28">
        <v>0.35</v>
      </c>
      <c r="I17" s="3" t="s">
        <v>15</v>
      </c>
      <c r="J17" s="3" t="s">
        <v>16</v>
      </c>
      <c r="K17" s="29">
        <v>46205</v>
      </c>
      <c r="L17" s="6">
        <v>46234</v>
      </c>
      <c r="M17" s="6" t="s">
        <v>718</v>
      </c>
      <c r="N17" s="47"/>
      <c r="O17" s="47"/>
    </row>
    <row r="18" spans="1:15">
      <c r="A18" s="103">
        <v>662626</v>
      </c>
      <c r="B18" s="103">
        <v>2684</v>
      </c>
      <c r="C18" s="104">
        <v>7790895648564</v>
      </c>
      <c r="D18" s="105" t="s">
        <v>696</v>
      </c>
      <c r="E18" s="106">
        <v>2600.0740000000001</v>
      </c>
      <c r="F18" s="107">
        <v>1950.0554999999999</v>
      </c>
      <c r="G18" s="108">
        <v>-650.01850000000013</v>
      </c>
      <c r="H18" s="109">
        <v>0.25</v>
      </c>
      <c r="I18" s="103" t="s">
        <v>18</v>
      </c>
      <c r="J18" s="103" t="s">
        <v>24</v>
      </c>
      <c r="K18" s="110">
        <v>46205</v>
      </c>
      <c r="L18" s="111">
        <v>46208</v>
      </c>
      <c r="M18" s="6" t="s">
        <v>718</v>
      </c>
      <c r="N18" s="47"/>
      <c r="O18" s="47"/>
    </row>
    <row r="19" spans="1:15">
      <c r="A19" s="85">
        <v>666525</v>
      </c>
      <c r="B19" s="86">
        <v>197237</v>
      </c>
      <c r="C19" s="87">
        <v>7799155001774</v>
      </c>
      <c r="D19" s="88" t="s">
        <v>1336</v>
      </c>
      <c r="E19" s="89">
        <v>1741.57</v>
      </c>
      <c r="F19" s="89">
        <f>+E19*0.89</f>
        <v>1549.9973</v>
      </c>
      <c r="G19" s="90">
        <f>+F19-E19</f>
        <v>-191.57269999999994</v>
      </c>
      <c r="H19" s="91">
        <v>0.11</v>
      </c>
      <c r="I19" s="86" t="s">
        <v>18</v>
      </c>
      <c r="J19" s="88" t="s">
        <v>647</v>
      </c>
      <c r="K19" s="92">
        <v>46205</v>
      </c>
      <c r="L19" s="92">
        <v>46234</v>
      </c>
      <c r="M19" s="6" t="s">
        <v>718</v>
      </c>
      <c r="N19" s="47"/>
      <c r="O19" s="47"/>
    </row>
    <row r="20" spans="1:15">
      <c r="A20" s="128">
        <v>863</v>
      </c>
      <c r="B20" s="128">
        <v>2439</v>
      </c>
      <c r="C20" s="129">
        <v>7792799000059</v>
      </c>
      <c r="D20" s="130" t="s">
        <v>732</v>
      </c>
      <c r="E20" s="131">
        <v>3000</v>
      </c>
      <c r="F20" s="132">
        <v>1500</v>
      </c>
      <c r="G20" s="124">
        <v>-1500</v>
      </c>
      <c r="H20" s="133">
        <v>0.5</v>
      </c>
      <c r="I20" s="128" t="s">
        <v>15</v>
      </c>
      <c r="J20" s="128" t="s">
        <v>640</v>
      </c>
      <c r="K20" s="134">
        <v>46206</v>
      </c>
      <c r="L20" s="127">
        <v>46234</v>
      </c>
      <c r="M20" s="127" t="s">
        <v>17</v>
      </c>
      <c r="N20" s="47"/>
      <c r="O20" s="47"/>
    </row>
    <row r="21" spans="1:15">
      <c r="A21" s="128">
        <v>865</v>
      </c>
      <c r="B21" s="128">
        <v>14933</v>
      </c>
      <c r="C21" s="129">
        <v>7792799000011</v>
      </c>
      <c r="D21" s="130" t="s">
        <v>731</v>
      </c>
      <c r="E21" s="131">
        <v>2247.5</v>
      </c>
      <c r="F21" s="132">
        <v>1123.75</v>
      </c>
      <c r="G21" s="124">
        <v>-1123.75</v>
      </c>
      <c r="H21" s="133">
        <v>0.5</v>
      </c>
      <c r="I21" s="128" t="s">
        <v>15</v>
      </c>
      <c r="J21" s="128" t="s">
        <v>640</v>
      </c>
      <c r="K21" s="134">
        <v>46206</v>
      </c>
      <c r="L21" s="127">
        <v>46234</v>
      </c>
      <c r="M21" s="127" t="s">
        <v>17</v>
      </c>
      <c r="N21" s="47"/>
      <c r="O21" s="47"/>
    </row>
    <row r="22" spans="1:15">
      <c r="A22" s="85">
        <v>1547</v>
      </c>
      <c r="B22" s="86">
        <v>196776</v>
      </c>
      <c r="C22" s="87">
        <v>7790315000422</v>
      </c>
      <c r="D22" s="88" t="s">
        <v>1339</v>
      </c>
      <c r="E22" s="89">
        <v>3487.18</v>
      </c>
      <c r="F22" s="89">
        <f>+E22*0.78</f>
        <v>2720.0003999999999</v>
      </c>
      <c r="G22" s="90">
        <f>+F22-E22</f>
        <v>-767.17959999999994</v>
      </c>
      <c r="H22" s="91">
        <v>0.22</v>
      </c>
      <c r="I22" s="86" t="s">
        <v>18</v>
      </c>
      <c r="J22" s="88" t="s">
        <v>648</v>
      </c>
      <c r="K22" s="92">
        <v>46205</v>
      </c>
      <c r="L22" s="92">
        <v>46234</v>
      </c>
      <c r="M22" s="6" t="s">
        <v>718</v>
      </c>
      <c r="N22" s="47"/>
      <c r="O22" s="47"/>
    </row>
    <row r="23" spans="1:15">
      <c r="A23" s="85">
        <v>3814</v>
      </c>
      <c r="B23" s="86">
        <v>195141</v>
      </c>
      <c r="C23" s="87">
        <v>7798062548914</v>
      </c>
      <c r="D23" s="88" t="s">
        <v>1352</v>
      </c>
      <c r="E23" s="89">
        <v>5940</v>
      </c>
      <c r="F23" s="89">
        <f>+E23*0.7</f>
        <v>4158</v>
      </c>
      <c r="G23" s="90">
        <f>+F23-E23</f>
        <v>-1782</v>
      </c>
      <c r="H23" s="91">
        <v>0.3</v>
      </c>
      <c r="I23" s="86" t="s">
        <v>18</v>
      </c>
      <c r="J23" s="88" t="s">
        <v>94</v>
      </c>
      <c r="K23" s="92">
        <v>46205</v>
      </c>
      <c r="L23" s="92">
        <v>46234</v>
      </c>
      <c r="M23" s="6" t="s">
        <v>718</v>
      </c>
      <c r="N23" s="47"/>
      <c r="O23" s="47"/>
    </row>
    <row r="24" spans="1:15">
      <c r="A24" s="103">
        <v>4433</v>
      </c>
      <c r="B24" s="103">
        <v>4236</v>
      </c>
      <c r="C24" s="104">
        <v>7790895008504</v>
      </c>
      <c r="D24" s="105" t="s">
        <v>709</v>
      </c>
      <c r="E24" s="106">
        <v>3100.0819999999999</v>
      </c>
      <c r="F24" s="107">
        <v>2325.0614999999998</v>
      </c>
      <c r="G24" s="108">
        <v>-775.02050000000008</v>
      </c>
      <c r="H24" s="109">
        <v>0.25</v>
      </c>
      <c r="I24" s="103" t="s">
        <v>18</v>
      </c>
      <c r="J24" s="103" t="s">
        <v>24</v>
      </c>
      <c r="K24" s="110">
        <v>46205</v>
      </c>
      <c r="L24" s="111">
        <v>46208</v>
      </c>
      <c r="M24" s="6" t="s">
        <v>718</v>
      </c>
      <c r="N24" s="47"/>
      <c r="O24" s="47"/>
    </row>
    <row r="25" spans="1:15">
      <c r="A25" s="103">
        <v>4255</v>
      </c>
      <c r="B25" s="103">
        <v>4235</v>
      </c>
      <c r="C25" s="104">
        <v>7790895003301</v>
      </c>
      <c r="D25" s="105" t="s">
        <v>708</v>
      </c>
      <c r="E25" s="106">
        <v>3100.0819999999999</v>
      </c>
      <c r="F25" s="107">
        <v>2325.0614999999998</v>
      </c>
      <c r="G25" s="108">
        <v>-775.02050000000008</v>
      </c>
      <c r="H25" s="109">
        <v>0.25</v>
      </c>
      <c r="I25" s="103" t="s">
        <v>18</v>
      </c>
      <c r="J25" s="103" t="s">
        <v>24</v>
      </c>
      <c r="K25" s="110">
        <v>46205</v>
      </c>
      <c r="L25" s="111">
        <v>46208</v>
      </c>
      <c r="M25" s="6" t="s">
        <v>718</v>
      </c>
      <c r="N25" s="47"/>
      <c r="O25" s="47"/>
    </row>
    <row r="26" spans="1:15">
      <c r="A26" s="3">
        <v>12615</v>
      </c>
      <c r="B26" s="3">
        <v>4211</v>
      </c>
      <c r="C26" s="2">
        <v>7790895640452</v>
      </c>
      <c r="D26" s="1" t="s">
        <v>677</v>
      </c>
      <c r="E26" s="32">
        <v>1700.04</v>
      </c>
      <c r="F26" s="102">
        <v>1105.0260000000001</v>
      </c>
      <c r="G26" s="33">
        <v>-595.0139999999999</v>
      </c>
      <c r="H26" s="28">
        <v>0.35</v>
      </c>
      <c r="I26" s="3" t="s">
        <v>15</v>
      </c>
      <c r="J26" s="3" t="s">
        <v>16</v>
      </c>
      <c r="K26" s="29">
        <v>46205</v>
      </c>
      <c r="L26" s="6">
        <v>46234</v>
      </c>
      <c r="M26" s="6" t="s">
        <v>718</v>
      </c>
      <c r="N26" s="47"/>
      <c r="O26" s="47"/>
    </row>
    <row r="27" spans="1:15">
      <c r="A27" s="103">
        <v>7341</v>
      </c>
      <c r="B27" s="103">
        <v>4237</v>
      </c>
      <c r="C27" s="104">
        <v>7790895003325</v>
      </c>
      <c r="D27" s="105" t="s">
        <v>710</v>
      </c>
      <c r="E27" s="106">
        <v>3100.0819999999999</v>
      </c>
      <c r="F27" s="107">
        <v>2325.0614999999998</v>
      </c>
      <c r="G27" s="108">
        <v>-775.02050000000008</v>
      </c>
      <c r="H27" s="109">
        <v>0.25</v>
      </c>
      <c r="I27" s="103" t="s">
        <v>18</v>
      </c>
      <c r="J27" s="103" t="s">
        <v>24</v>
      </c>
      <c r="K27" s="110">
        <v>46205</v>
      </c>
      <c r="L27" s="111">
        <v>46208</v>
      </c>
      <c r="M27" s="6" t="s">
        <v>718</v>
      </c>
      <c r="N27" s="47"/>
      <c r="O27" s="47"/>
    </row>
    <row r="28" spans="1:15">
      <c r="A28" s="3">
        <v>4063</v>
      </c>
      <c r="B28" s="3">
        <v>4209</v>
      </c>
      <c r="C28" s="2">
        <v>7790895641213</v>
      </c>
      <c r="D28" s="1" t="s">
        <v>674</v>
      </c>
      <c r="E28" s="32">
        <v>1700.04</v>
      </c>
      <c r="F28" s="102">
        <v>1105.0260000000001</v>
      </c>
      <c r="G28" s="33">
        <v>-595.0139999999999</v>
      </c>
      <c r="H28" s="28">
        <v>0.35</v>
      </c>
      <c r="I28" s="3" t="s">
        <v>15</v>
      </c>
      <c r="J28" s="3" t="s">
        <v>16</v>
      </c>
      <c r="K28" s="29">
        <v>46205</v>
      </c>
      <c r="L28" s="6">
        <v>46234</v>
      </c>
      <c r="M28" s="6" t="s">
        <v>718</v>
      </c>
      <c r="N28" s="47"/>
      <c r="O28" s="47"/>
    </row>
    <row r="29" spans="1:15">
      <c r="A29" s="161">
        <v>7479</v>
      </c>
      <c r="B29" s="57">
        <v>4233</v>
      </c>
      <c r="C29" s="57">
        <v>7790895003295</v>
      </c>
      <c r="D29" s="45" t="s">
        <v>712</v>
      </c>
      <c r="E29" s="46">
        <v>3100.0819999999999</v>
      </c>
      <c r="F29" s="46">
        <v>2325.0614999999998</v>
      </c>
      <c r="G29" s="108">
        <v>-775.02050000000008</v>
      </c>
      <c r="H29" s="58">
        <v>0.25</v>
      </c>
      <c r="I29" s="4" t="s">
        <v>18</v>
      </c>
      <c r="J29" s="4" t="s">
        <v>24</v>
      </c>
      <c r="K29" s="59">
        <v>46205</v>
      </c>
      <c r="L29" s="59">
        <v>46208</v>
      </c>
      <c r="M29" s="6" t="s">
        <v>718</v>
      </c>
      <c r="N29" s="47"/>
      <c r="O29" s="47"/>
    </row>
    <row r="30" spans="1:15">
      <c r="A30" s="3">
        <v>12614</v>
      </c>
      <c r="B30" s="3">
        <v>4215</v>
      </c>
      <c r="C30" s="2">
        <v>7790895640445</v>
      </c>
      <c r="D30" s="1" t="s">
        <v>676</v>
      </c>
      <c r="E30" s="32">
        <v>1700.04</v>
      </c>
      <c r="F30" s="102">
        <v>1105.0260000000001</v>
      </c>
      <c r="G30" s="33">
        <v>-595.0139999999999</v>
      </c>
      <c r="H30" s="28">
        <v>0.35</v>
      </c>
      <c r="I30" s="3" t="s">
        <v>15</v>
      </c>
      <c r="J30" s="3" t="s">
        <v>16</v>
      </c>
      <c r="K30" s="29">
        <v>46205</v>
      </c>
      <c r="L30" s="6">
        <v>46234</v>
      </c>
      <c r="M30" s="6" t="s">
        <v>718</v>
      </c>
      <c r="N30" s="47"/>
      <c r="O30" s="47"/>
    </row>
    <row r="31" spans="1:15">
      <c r="A31" s="161">
        <v>8771</v>
      </c>
      <c r="B31" s="57">
        <v>4240</v>
      </c>
      <c r="C31" s="57">
        <v>7790895004971</v>
      </c>
      <c r="D31" s="45" t="s">
        <v>713</v>
      </c>
      <c r="E31" s="46">
        <v>3100.0819999999999</v>
      </c>
      <c r="F31" s="46">
        <v>2325.0614999999998</v>
      </c>
      <c r="G31" s="108">
        <v>-775.02050000000008</v>
      </c>
      <c r="H31" s="58">
        <v>0.25</v>
      </c>
      <c r="I31" s="4" t="s">
        <v>18</v>
      </c>
      <c r="J31" s="4" t="s">
        <v>24</v>
      </c>
      <c r="K31" s="59">
        <v>46205</v>
      </c>
      <c r="L31" s="59">
        <v>46208</v>
      </c>
      <c r="M31" s="6" t="s">
        <v>718</v>
      </c>
      <c r="N31" s="47"/>
      <c r="O31" s="47"/>
    </row>
    <row r="32" spans="1:15">
      <c r="A32" s="3">
        <v>804006</v>
      </c>
      <c r="B32" s="3">
        <v>4213</v>
      </c>
      <c r="C32" s="2">
        <v>7790895004032</v>
      </c>
      <c r="D32" s="1" t="s">
        <v>675</v>
      </c>
      <c r="E32" s="32">
        <v>1700.04</v>
      </c>
      <c r="F32" s="102">
        <v>1105.0260000000001</v>
      </c>
      <c r="G32" s="33">
        <v>-595.0139999999999</v>
      </c>
      <c r="H32" s="28">
        <v>0.35</v>
      </c>
      <c r="I32" s="3" t="s">
        <v>15</v>
      </c>
      <c r="J32" s="3" t="s">
        <v>16</v>
      </c>
      <c r="K32" s="29">
        <v>46205</v>
      </c>
      <c r="L32" s="6">
        <v>46234</v>
      </c>
      <c r="M32" s="6" t="s">
        <v>718</v>
      </c>
      <c r="N32" s="47"/>
      <c r="O32" s="47"/>
    </row>
    <row r="33" spans="1:15">
      <c r="A33" s="103">
        <v>7413</v>
      </c>
      <c r="B33" s="103">
        <v>4231</v>
      </c>
      <c r="C33" s="104">
        <v>7790895003288</v>
      </c>
      <c r="D33" s="105" t="s">
        <v>711</v>
      </c>
      <c r="E33" s="106">
        <v>3100.0819999999999</v>
      </c>
      <c r="F33" s="107">
        <v>2325.0614999999998</v>
      </c>
      <c r="G33" s="108">
        <v>-775.02050000000008</v>
      </c>
      <c r="H33" s="109">
        <v>0.25</v>
      </c>
      <c r="I33" s="103" t="s">
        <v>18</v>
      </c>
      <c r="J33" s="103" t="s">
        <v>24</v>
      </c>
      <c r="K33" s="110">
        <v>46205</v>
      </c>
      <c r="L33" s="111">
        <v>46208</v>
      </c>
      <c r="M33" s="6" t="s">
        <v>718</v>
      </c>
      <c r="N33" s="47"/>
      <c r="O33" s="47"/>
    </row>
    <row r="34" spans="1:15">
      <c r="A34" s="3">
        <v>12616</v>
      </c>
      <c r="B34" s="3">
        <v>4207</v>
      </c>
      <c r="C34" s="2">
        <v>7790895640469</v>
      </c>
      <c r="D34" s="1" t="s">
        <v>678</v>
      </c>
      <c r="E34" s="32">
        <v>1700.04</v>
      </c>
      <c r="F34" s="102">
        <v>1105.0260000000001</v>
      </c>
      <c r="G34" s="33">
        <v>-595.0139999999999</v>
      </c>
      <c r="H34" s="28">
        <v>0.35</v>
      </c>
      <c r="I34" s="3" t="s">
        <v>15</v>
      </c>
      <c r="J34" s="3" t="s">
        <v>16</v>
      </c>
      <c r="K34" s="29">
        <v>46205</v>
      </c>
      <c r="L34" s="6">
        <v>46234</v>
      </c>
      <c r="M34" s="6" t="s">
        <v>718</v>
      </c>
      <c r="N34" s="47"/>
      <c r="O34" s="47"/>
    </row>
    <row r="35" spans="1:15">
      <c r="A35" s="85">
        <v>665566</v>
      </c>
      <c r="B35" s="86">
        <v>197203</v>
      </c>
      <c r="C35" s="87">
        <v>7799155001408</v>
      </c>
      <c r="D35" s="88" t="s">
        <v>1356</v>
      </c>
      <c r="E35" s="89">
        <v>3859.8</v>
      </c>
      <c r="F35" s="89">
        <f>+E35*0.57</f>
        <v>2200.0859999999998</v>
      </c>
      <c r="G35" s="90">
        <f>+F35-E35</f>
        <v>-1659.7140000000004</v>
      </c>
      <c r="H35" s="91">
        <v>0.43</v>
      </c>
      <c r="I35" s="86" t="s">
        <v>18</v>
      </c>
      <c r="J35" s="88" t="s">
        <v>651</v>
      </c>
      <c r="K35" s="92">
        <v>46205</v>
      </c>
      <c r="L35" s="92">
        <v>46234</v>
      </c>
      <c r="M35" s="6" t="s">
        <v>718</v>
      </c>
      <c r="N35" s="47"/>
      <c r="O35" s="47"/>
    </row>
    <row r="36" spans="1:15">
      <c r="A36" s="85">
        <v>11144</v>
      </c>
      <c r="B36" s="86">
        <v>132670</v>
      </c>
      <c r="C36" s="87">
        <v>7798062540284</v>
      </c>
      <c r="D36" s="88" t="s">
        <v>1357</v>
      </c>
      <c r="E36" s="89">
        <v>4000</v>
      </c>
      <c r="F36" s="89">
        <f>+E36*0.55</f>
        <v>2200</v>
      </c>
      <c r="G36" s="90">
        <f>+F36-E36</f>
        <v>-1800</v>
      </c>
      <c r="H36" s="91">
        <v>0.45</v>
      </c>
      <c r="I36" s="86" t="s">
        <v>18</v>
      </c>
      <c r="J36" s="88" t="s">
        <v>652</v>
      </c>
      <c r="K36" s="92">
        <v>46205</v>
      </c>
      <c r="L36" s="92">
        <v>46234</v>
      </c>
      <c r="M36" s="6" t="s">
        <v>718</v>
      </c>
      <c r="N36" s="47"/>
      <c r="O36" s="47"/>
    </row>
    <row r="37" spans="1:15">
      <c r="A37" s="3">
        <v>667324</v>
      </c>
      <c r="B37" s="4">
        <v>13757</v>
      </c>
      <c r="C37" s="2" t="s">
        <v>209</v>
      </c>
      <c r="D37" s="1" t="s">
        <v>210</v>
      </c>
      <c r="E37" s="32">
        <v>1940</v>
      </c>
      <c r="F37" s="33">
        <v>1649</v>
      </c>
      <c r="G37" s="31">
        <v>-291</v>
      </c>
      <c r="H37" s="28">
        <v>0.15</v>
      </c>
      <c r="I37" s="3" t="s">
        <v>18</v>
      </c>
      <c r="J37" s="3" t="s">
        <v>70</v>
      </c>
      <c r="K37" s="29">
        <v>46204</v>
      </c>
      <c r="L37" s="6">
        <v>46234</v>
      </c>
      <c r="M37" s="6" t="s">
        <v>59</v>
      </c>
      <c r="N37" s="47"/>
      <c r="O37" s="47"/>
    </row>
    <row r="38" spans="1:15">
      <c r="A38" s="3">
        <v>667325</v>
      </c>
      <c r="B38" s="4">
        <v>15489</v>
      </c>
      <c r="C38" s="2" t="s">
        <v>201</v>
      </c>
      <c r="D38" s="1" t="s">
        <v>202</v>
      </c>
      <c r="E38" s="32">
        <v>2135</v>
      </c>
      <c r="F38" s="33">
        <v>1921.5</v>
      </c>
      <c r="G38" s="31">
        <v>-213.5</v>
      </c>
      <c r="H38" s="28">
        <v>0.1</v>
      </c>
      <c r="I38" s="3" t="s">
        <v>18</v>
      </c>
      <c r="J38" s="3" t="s">
        <v>23</v>
      </c>
      <c r="K38" s="29">
        <v>46204</v>
      </c>
      <c r="L38" s="6">
        <v>46234</v>
      </c>
      <c r="M38" s="6" t="s">
        <v>59</v>
      </c>
      <c r="N38" s="47"/>
      <c r="O38" s="47"/>
    </row>
    <row r="39" spans="1:15">
      <c r="A39" s="3">
        <v>6403</v>
      </c>
      <c r="B39" s="4">
        <v>3313</v>
      </c>
      <c r="C39" s="2" t="s">
        <v>232</v>
      </c>
      <c r="D39" s="1" t="s">
        <v>142</v>
      </c>
      <c r="E39" s="32">
        <v>599.99</v>
      </c>
      <c r="F39" s="33">
        <v>527.99120000000005</v>
      </c>
      <c r="G39" s="31">
        <v>-71.99879999999996</v>
      </c>
      <c r="H39" s="28">
        <v>0.12</v>
      </c>
      <c r="I39" s="3" t="s">
        <v>18</v>
      </c>
      <c r="J39" s="3" t="s">
        <v>116</v>
      </c>
      <c r="K39" s="29">
        <v>46209</v>
      </c>
      <c r="L39" s="6">
        <v>46234</v>
      </c>
      <c r="M39" s="6" t="s">
        <v>59</v>
      </c>
      <c r="N39" s="47"/>
      <c r="O39" s="47"/>
    </row>
    <row r="40" spans="1:15">
      <c r="A40" s="3">
        <v>6409</v>
      </c>
      <c r="B40" s="4">
        <v>3312</v>
      </c>
      <c r="C40" s="2" t="s">
        <v>231</v>
      </c>
      <c r="D40" s="1" t="s">
        <v>143</v>
      </c>
      <c r="E40" s="32">
        <v>599.99</v>
      </c>
      <c r="F40" s="33">
        <v>527.99120000000005</v>
      </c>
      <c r="G40" s="31">
        <v>-71.99879999999996</v>
      </c>
      <c r="H40" s="28">
        <v>0.12</v>
      </c>
      <c r="I40" s="3" t="s">
        <v>18</v>
      </c>
      <c r="J40" s="3" t="s">
        <v>116</v>
      </c>
      <c r="K40" s="29">
        <v>46209</v>
      </c>
      <c r="L40" s="6">
        <v>46234</v>
      </c>
      <c r="M40" s="6" t="s">
        <v>59</v>
      </c>
      <c r="N40" s="47"/>
      <c r="O40" s="47"/>
    </row>
    <row r="41" spans="1:15">
      <c r="A41" s="3">
        <v>7621</v>
      </c>
      <c r="B41" s="4">
        <v>4053</v>
      </c>
      <c r="C41" s="2" t="s">
        <v>229</v>
      </c>
      <c r="D41" s="1" t="s">
        <v>144</v>
      </c>
      <c r="E41" s="32">
        <v>1199.99</v>
      </c>
      <c r="F41" s="33">
        <v>1055.9911999999999</v>
      </c>
      <c r="G41" s="31">
        <v>-143.99880000000007</v>
      </c>
      <c r="H41" s="28">
        <v>0.12</v>
      </c>
      <c r="I41" s="3" t="s">
        <v>18</v>
      </c>
      <c r="J41" s="3" t="s">
        <v>116</v>
      </c>
      <c r="K41" s="29">
        <v>46209</v>
      </c>
      <c r="L41" s="6">
        <v>46234</v>
      </c>
      <c r="M41" s="6" t="s">
        <v>59</v>
      </c>
      <c r="N41" s="47"/>
      <c r="O41" s="47"/>
    </row>
    <row r="42" spans="1:15">
      <c r="A42" s="3">
        <v>7488</v>
      </c>
      <c r="B42" s="4">
        <v>4056</v>
      </c>
      <c r="C42" s="2" t="s">
        <v>230</v>
      </c>
      <c r="D42" s="1" t="s">
        <v>145</v>
      </c>
      <c r="E42" s="32">
        <v>1199.99</v>
      </c>
      <c r="F42" s="33">
        <v>1055.9911999999999</v>
      </c>
      <c r="G42" s="31">
        <v>-143.99880000000007</v>
      </c>
      <c r="H42" s="28">
        <v>0.12</v>
      </c>
      <c r="I42" s="3" t="s">
        <v>18</v>
      </c>
      <c r="J42" s="3" t="s">
        <v>116</v>
      </c>
      <c r="K42" s="29">
        <v>46209</v>
      </c>
      <c r="L42" s="6">
        <v>46234</v>
      </c>
      <c r="M42" s="6" t="s">
        <v>59</v>
      </c>
      <c r="N42" s="47"/>
      <c r="O42" s="47"/>
    </row>
    <row r="43" spans="1:15">
      <c r="A43" s="3">
        <v>3402</v>
      </c>
      <c r="B43" s="4">
        <v>7692</v>
      </c>
      <c r="C43" s="2" t="s">
        <v>162</v>
      </c>
      <c r="D43" s="1" t="s">
        <v>41</v>
      </c>
      <c r="E43" s="32">
        <v>4799.99</v>
      </c>
      <c r="F43" s="33">
        <v>4223.9911999999995</v>
      </c>
      <c r="G43" s="31">
        <v>-575.9988000000003</v>
      </c>
      <c r="H43" s="28">
        <v>0.12</v>
      </c>
      <c r="I43" s="3" t="s">
        <v>18</v>
      </c>
      <c r="J43" s="3" t="s">
        <v>116</v>
      </c>
      <c r="K43" s="29">
        <v>46204</v>
      </c>
      <c r="L43" s="6">
        <v>46234</v>
      </c>
      <c r="M43" s="6" t="s">
        <v>22</v>
      </c>
      <c r="N43" s="47"/>
      <c r="O43" s="47"/>
    </row>
    <row r="44" spans="1:15">
      <c r="A44" s="3">
        <v>12624</v>
      </c>
      <c r="B44" s="4">
        <v>7693</v>
      </c>
      <c r="C44" s="2" t="s">
        <v>161</v>
      </c>
      <c r="D44" s="1" t="s">
        <v>40</v>
      </c>
      <c r="E44" s="32">
        <v>4799.99</v>
      </c>
      <c r="F44" s="33">
        <v>4223.9911999999995</v>
      </c>
      <c r="G44" s="31">
        <v>-575.9988000000003</v>
      </c>
      <c r="H44" s="28">
        <v>0.12</v>
      </c>
      <c r="I44" s="3" t="s">
        <v>18</v>
      </c>
      <c r="J44" s="3" t="s">
        <v>116</v>
      </c>
      <c r="K44" s="29">
        <v>46204</v>
      </c>
      <c r="L44" s="6">
        <v>46234</v>
      </c>
      <c r="M44" s="6" t="s">
        <v>22</v>
      </c>
      <c r="N44" s="47"/>
      <c r="O44" s="47"/>
    </row>
    <row r="45" spans="1:15">
      <c r="A45" s="3">
        <v>5720</v>
      </c>
      <c r="B45" s="4">
        <v>7690</v>
      </c>
      <c r="C45" s="2" t="s">
        <v>160</v>
      </c>
      <c r="D45" s="1" t="s">
        <v>39</v>
      </c>
      <c r="E45" s="32">
        <v>4799.99</v>
      </c>
      <c r="F45" s="33">
        <v>4223.9911999999995</v>
      </c>
      <c r="G45" s="31">
        <v>-575.9988000000003</v>
      </c>
      <c r="H45" s="28">
        <v>0.12</v>
      </c>
      <c r="I45" s="3" t="s">
        <v>18</v>
      </c>
      <c r="J45" s="3" t="s">
        <v>116</v>
      </c>
      <c r="K45" s="29">
        <v>46204</v>
      </c>
      <c r="L45" s="6">
        <v>46234</v>
      </c>
      <c r="M45" s="6" t="s">
        <v>22</v>
      </c>
      <c r="N45" s="47"/>
      <c r="O45" s="47"/>
    </row>
    <row r="46" spans="1:15">
      <c r="A46" s="3">
        <v>5670</v>
      </c>
      <c r="B46" s="4">
        <v>7691</v>
      </c>
      <c r="C46" s="2" t="s">
        <v>159</v>
      </c>
      <c r="D46" s="1" t="s">
        <v>38</v>
      </c>
      <c r="E46" s="32">
        <v>4799.99</v>
      </c>
      <c r="F46" s="33">
        <v>4223.9911999999995</v>
      </c>
      <c r="G46" s="31">
        <v>-575.9988000000003</v>
      </c>
      <c r="H46" s="28">
        <v>0.12</v>
      </c>
      <c r="I46" s="3" t="s">
        <v>18</v>
      </c>
      <c r="J46" s="3" t="s">
        <v>116</v>
      </c>
      <c r="K46" s="29">
        <v>46204</v>
      </c>
      <c r="L46" s="6">
        <v>46234</v>
      </c>
      <c r="M46" s="6" t="s">
        <v>22</v>
      </c>
      <c r="N46" s="47"/>
      <c r="O46" s="47"/>
    </row>
    <row r="47" spans="1:15">
      <c r="A47" s="3">
        <v>15035</v>
      </c>
      <c r="B47" s="4">
        <v>8626</v>
      </c>
      <c r="C47" s="2" t="s">
        <v>163</v>
      </c>
      <c r="D47" s="1" t="s">
        <v>42</v>
      </c>
      <c r="E47" s="32">
        <v>4799.99</v>
      </c>
      <c r="F47" s="33">
        <v>4223.9911999999995</v>
      </c>
      <c r="G47" s="31">
        <v>-575.9988000000003</v>
      </c>
      <c r="H47" s="28">
        <v>0.12</v>
      </c>
      <c r="I47" s="3" t="s">
        <v>18</v>
      </c>
      <c r="J47" s="3" t="s">
        <v>116</v>
      </c>
      <c r="K47" s="29">
        <v>46204</v>
      </c>
      <c r="L47" s="6">
        <v>46234</v>
      </c>
      <c r="M47" s="6" t="s">
        <v>22</v>
      </c>
      <c r="N47" s="47"/>
      <c r="O47" s="47"/>
    </row>
    <row r="48" spans="1:15">
      <c r="A48" s="3">
        <v>7656</v>
      </c>
      <c r="B48" s="4">
        <v>7239</v>
      </c>
      <c r="C48" s="2" t="s">
        <v>179</v>
      </c>
      <c r="D48" s="1" t="s">
        <v>35</v>
      </c>
      <c r="E48" s="32">
        <v>1619.99</v>
      </c>
      <c r="F48" s="33">
        <v>1376.9914999999999</v>
      </c>
      <c r="G48" s="31">
        <v>-242.99850000000015</v>
      </c>
      <c r="H48" s="28">
        <v>0.15</v>
      </c>
      <c r="I48" s="3" t="s">
        <v>15</v>
      </c>
      <c r="J48" s="3" t="s">
        <v>21</v>
      </c>
      <c r="K48" s="29">
        <v>46204</v>
      </c>
      <c r="L48" s="6">
        <v>46234</v>
      </c>
      <c r="M48" s="6" t="s">
        <v>22</v>
      </c>
      <c r="N48" s="47"/>
      <c r="O48" s="47"/>
    </row>
    <row r="49" spans="1:15">
      <c r="A49" s="3">
        <v>5853</v>
      </c>
      <c r="B49" s="4">
        <v>7238</v>
      </c>
      <c r="C49" s="2" t="s">
        <v>178</v>
      </c>
      <c r="D49" s="1" t="s">
        <v>34</v>
      </c>
      <c r="E49" s="32">
        <v>1619.99</v>
      </c>
      <c r="F49" s="33">
        <v>1376.9914999999999</v>
      </c>
      <c r="G49" s="31">
        <v>-242.99850000000015</v>
      </c>
      <c r="H49" s="28">
        <v>0.15</v>
      </c>
      <c r="I49" s="3" t="s">
        <v>15</v>
      </c>
      <c r="J49" s="3" t="s">
        <v>21</v>
      </c>
      <c r="K49" s="29">
        <v>46204</v>
      </c>
      <c r="L49" s="6">
        <v>46234</v>
      </c>
      <c r="M49" s="6" t="s">
        <v>22</v>
      </c>
      <c r="N49" s="47"/>
      <c r="O49" s="47"/>
    </row>
    <row r="50" spans="1:15">
      <c r="A50" s="3">
        <v>5140</v>
      </c>
      <c r="B50" s="4">
        <v>7243</v>
      </c>
      <c r="C50" s="2" t="s">
        <v>176</v>
      </c>
      <c r="D50" s="1" t="s">
        <v>32</v>
      </c>
      <c r="E50" s="32">
        <v>1619.99</v>
      </c>
      <c r="F50" s="33">
        <v>1376.9914999999999</v>
      </c>
      <c r="G50" s="31">
        <v>-242.99850000000015</v>
      </c>
      <c r="H50" s="28">
        <v>0.15</v>
      </c>
      <c r="I50" s="3" t="s">
        <v>15</v>
      </c>
      <c r="J50" s="3" t="s">
        <v>21</v>
      </c>
      <c r="K50" s="29">
        <v>46204</v>
      </c>
      <c r="L50" s="6">
        <v>46234</v>
      </c>
      <c r="M50" s="6" t="s">
        <v>22</v>
      </c>
      <c r="N50" s="47"/>
      <c r="O50" s="47"/>
    </row>
    <row r="51" spans="1:15">
      <c r="A51" s="3">
        <v>5104</v>
      </c>
      <c r="B51" s="4">
        <v>7241</v>
      </c>
      <c r="C51" s="2" t="s">
        <v>175</v>
      </c>
      <c r="D51" s="1" t="s">
        <v>31</v>
      </c>
      <c r="E51" s="32">
        <v>1619.99</v>
      </c>
      <c r="F51" s="33">
        <v>1376.9914999999999</v>
      </c>
      <c r="G51" s="31">
        <v>-242.99850000000015</v>
      </c>
      <c r="H51" s="28">
        <v>0.15</v>
      </c>
      <c r="I51" s="3" t="s">
        <v>15</v>
      </c>
      <c r="J51" s="3" t="s">
        <v>21</v>
      </c>
      <c r="K51" s="29">
        <v>46204</v>
      </c>
      <c r="L51" s="6">
        <v>46234</v>
      </c>
      <c r="M51" s="6" t="s">
        <v>22</v>
      </c>
      <c r="N51" s="47"/>
      <c r="O51" s="47"/>
    </row>
    <row r="52" spans="1:15">
      <c r="A52" s="3">
        <v>5849</v>
      </c>
      <c r="B52" s="4">
        <v>7242</v>
      </c>
      <c r="C52" s="2" t="s">
        <v>177</v>
      </c>
      <c r="D52" s="1" t="s">
        <v>33</v>
      </c>
      <c r="E52" s="32">
        <v>1619.99</v>
      </c>
      <c r="F52" s="33">
        <v>1376.9914999999999</v>
      </c>
      <c r="G52" s="31">
        <v>-242.99850000000015</v>
      </c>
      <c r="H52" s="28">
        <v>0.15</v>
      </c>
      <c r="I52" s="3" t="s">
        <v>15</v>
      </c>
      <c r="J52" s="3" t="s">
        <v>21</v>
      </c>
      <c r="K52" s="29">
        <v>46204</v>
      </c>
      <c r="L52" s="6">
        <v>46234</v>
      </c>
      <c r="M52" s="6" t="s">
        <v>22</v>
      </c>
      <c r="N52" s="47"/>
      <c r="O52" s="47"/>
    </row>
    <row r="53" spans="1:15">
      <c r="A53" s="3">
        <v>14838</v>
      </c>
      <c r="B53" s="4">
        <v>7240</v>
      </c>
      <c r="C53" s="2" t="s">
        <v>180</v>
      </c>
      <c r="D53" s="1" t="s">
        <v>36</v>
      </c>
      <c r="E53" s="32">
        <v>1619.99</v>
      </c>
      <c r="F53" s="33">
        <v>1376.9914999999999</v>
      </c>
      <c r="G53" s="31">
        <v>-242.99850000000015</v>
      </c>
      <c r="H53" s="28">
        <v>0.15</v>
      </c>
      <c r="I53" s="3" t="s">
        <v>15</v>
      </c>
      <c r="J53" s="3" t="s">
        <v>21</v>
      </c>
      <c r="K53" s="29">
        <v>46204</v>
      </c>
      <c r="L53" s="6">
        <v>46234</v>
      </c>
      <c r="M53" s="6" t="s">
        <v>22</v>
      </c>
      <c r="N53" s="47"/>
      <c r="O53" s="47"/>
    </row>
    <row r="54" spans="1:15">
      <c r="A54" s="3">
        <v>18594</v>
      </c>
      <c r="B54" s="4">
        <v>6032</v>
      </c>
      <c r="C54" s="2" t="s">
        <v>165</v>
      </c>
      <c r="D54" s="1" t="s">
        <v>44</v>
      </c>
      <c r="E54" s="32">
        <v>8399.99</v>
      </c>
      <c r="F54" s="33">
        <v>7391.9911999999995</v>
      </c>
      <c r="G54" s="31">
        <v>-1007.9988000000003</v>
      </c>
      <c r="H54" s="28">
        <v>0.12</v>
      </c>
      <c r="I54" s="3" t="s">
        <v>18</v>
      </c>
      <c r="J54" s="3" t="s">
        <v>116</v>
      </c>
      <c r="K54" s="29">
        <v>46204</v>
      </c>
      <c r="L54" s="6">
        <v>46234</v>
      </c>
      <c r="M54" s="6" t="s">
        <v>22</v>
      </c>
      <c r="N54" s="47"/>
      <c r="O54" s="47"/>
    </row>
    <row r="55" spans="1:15">
      <c r="A55" s="3">
        <v>18393</v>
      </c>
      <c r="B55" s="4">
        <v>10026</v>
      </c>
      <c r="C55" s="2" t="s">
        <v>167</v>
      </c>
      <c r="D55" s="1" t="s">
        <v>46</v>
      </c>
      <c r="E55" s="32">
        <v>8399.99</v>
      </c>
      <c r="F55" s="33">
        <v>7391.9911999999995</v>
      </c>
      <c r="G55" s="31">
        <v>-1007.9988000000003</v>
      </c>
      <c r="H55" s="28">
        <v>0.12</v>
      </c>
      <c r="I55" s="3" t="s">
        <v>18</v>
      </c>
      <c r="J55" s="3" t="s">
        <v>116</v>
      </c>
      <c r="K55" s="29">
        <v>46204</v>
      </c>
      <c r="L55" s="6">
        <v>46234</v>
      </c>
      <c r="M55" s="6" t="s">
        <v>22</v>
      </c>
      <c r="N55" s="47"/>
      <c r="O55" s="47"/>
    </row>
    <row r="56" spans="1:15">
      <c r="A56" s="3">
        <v>18394</v>
      </c>
      <c r="B56" s="4">
        <v>6007</v>
      </c>
      <c r="C56" s="2" t="s">
        <v>168</v>
      </c>
      <c r="D56" s="1" t="s">
        <v>47</v>
      </c>
      <c r="E56" s="32">
        <v>8399.99</v>
      </c>
      <c r="F56" s="33">
        <v>7391.9911999999995</v>
      </c>
      <c r="G56" s="31">
        <v>-1007.9988000000003</v>
      </c>
      <c r="H56" s="28">
        <v>0.12</v>
      </c>
      <c r="I56" s="3" t="s">
        <v>18</v>
      </c>
      <c r="J56" s="3" t="s">
        <v>116</v>
      </c>
      <c r="K56" s="29">
        <v>46204</v>
      </c>
      <c r="L56" s="6">
        <v>46234</v>
      </c>
      <c r="M56" s="6" t="s">
        <v>22</v>
      </c>
      <c r="N56" s="47"/>
      <c r="O56" s="47"/>
    </row>
    <row r="57" spans="1:15">
      <c r="A57" s="3">
        <v>18395</v>
      </c>
      <c r="B57" s="4">
        <v>27</v>
      </c>
      <c r="C57" s="2" t="s">
        <v>166</v>
      </c>
      <c r="D57" s="1" t="s">
        <v>45</v>
      </c>
      <c r="E57" s="32">
        <v>8399.99</v>
      </c>
      <c r="F57" s="33">
        <v>7391.9911999999995</v>
      </c>
      <c r="G57" s="31">
        <v>-1007.9988000000003</v>
      </c>
      <c r="H57" s="28">
        <v>0.12</v>
      </c>
      <c r="I57" s="3" t="s">
        <v>18</v>
      </c>
      <c r="J57" s="3" t="s">
        <v>116</v>
      </c>
      <c r="K57" s="29">
        <v>46204</v>
      </c>
      <c r="L57" s="6">
        <v>46234</v>
      </c>
      <c r="M57" s="6" t="s">
        <v>22</v>
      </c>
      <c r="N57" s="47"/>
      <c r="O57" s="47"/>
    </row>
    <row r="58" spans="1:15">
      <c r="A58" s="3">
        <v>18364</v>
      </c>
      <c r="B58" s="4">
        <v>6009</v>
      </c>
      <c r="C58" s="2" t="s">
        <v>164</v>
      </c>
      <c r="D58" s="1" t="s">
        <v>43</v>
      </c>
      <c r="E58" s="32">
        <v>8399.99</v>
      </c>
      <c r="F58" s="33">
        <v>7391.9911999999995</v>
      </c>
      <c r="G58" s="31">
        <v>-1007.9988000000003</v>
      </c>
      <c r="H58" s="28">
        <v>0.12</v>
      </c>
      <c r="I58" s="3" t="s">
        <v>18</v>
      </c>
      <c r="J58" s="3" t="s">
        <v>116</v>
      </c>
      <c r="K58" s="29">
        <v>46204</v>
      </c>
      <c r="L58" s="6">
        <v>46234</v>
      </c>
      <c r="M58" s="6" t="s">
        <v>22</v>
      </c>
      <c r="N58" s="47"/>
      <c r="O58" s="47"/>
    </row>
    <row r="59" spans="1:15">
      <c r="A59" s="3">
        <v>14540</v>
      </c>
      <c r="B59" s="4">
        <v>7237</v>
      </c>
      <c r="C59" s="2" t="s">
        <v>170</v>
      </c>
      <c r="D59" s="1" t="s">
        <v>26</v>
      </c>
      <c r="E59" s="32">
        <v>1619.99</v>
      </c>
      <c r="F59" s="33">
        <v>1376.9914999999999</v>
      </c>
      <c r="G59" s="31">
        <v>-242.99850000000015</v>
      </c>
      <c r="H59" s="28">
        <v>0.15</v>
      </c>
      <c r="I59" s="3" t="s">
        <v>15</v>
      </c>
      <c r="J59" s="3" t="s">
        <v>21</v>
      </c>
      <c r="K59" s="29">
        <v>46204</v>
      </c>
      <c r="L59" s="6">
        <v>46234</v>
      </c>
      <c r="M59" s="6" t="s">
        <v>22</v>
      </c>
      <c r="N59" s="47"/>
      <c r="O59" s="47"/>
    </row>
    <row r="60" spans="1:15">
      <c r="A60" s="3">
        <v>14539</v>
      </c>
      <c r="B60" s="4">
        <v>7313</v>
      </c>
      <c r="C60" s="2" t="s">
        <v>169</v>
      </c>
      <c r="D60" s="1" t="s">
        <v>25</v>
      </c>
      <c r="E60" s="32">
        <v>1619.99</v>
      </c>
      <c r="F60" s="33">
        <v>1376.9914999999999</v>
      </c>
      <c r="G60" s="31">
        <v>-242.99850000000015</v>
      </c>
      <c r="H60" s="28">
        <v>0.15</v>
      </c>
      <c r="I60" s="3" t="s">
        <v>15</v>
      </c>
      <c r="J60" s="3" t="s">
        <v>21</v>
      </c>
      <c r="K60" s="29">
        <v>46204</v>
      </c>
      <c r="L60" s="6">
        <v>46234</v>
      </c>
      <c r="M60" s="6" t="s">
        <v>22</v>
      </c>
      <c r="N60" s="47"/>
      <c r="O60" s="47"/>
    </row>
    <row r="61" spans="1:15">
      <c r="A61" s="3">
        <v>657791</v>
      </c>
      <c r="B61" s="4">
        <v>7312</v>
      </c>
      <c r="C61" s="2" t="s">
        <v>174</v>
      </c>
      <c r="D61" s="1" t="s">
        <v>30</v>
      </c>
      <c r="E61" s="32">
        <v>1619.99</v>
      </c>
      <c r="F61" s="33">
        <v>1376.9914999999999</v>
      </c>
      <c r="G61" s="31">
        <v>-242.99850000000015</v>
      </c>
      <c r="H61" s="28">
        <v>0.15</v>
      </c>
      <c r="I61" s="3" t="s">
        <v>15</v>
      </c>
      <c r="J61" s="3" t="s">
        <v>21</v>
      </c>
      <c r="K61" s="29">
        <v>46204</v>
      </c>
      <c r="L61" s="6">
        <v>46234</v>
      </c>
      <c r="M61" s="6" t="s">
        <v>22</v>
      </c>
      <c r="N61" s="47"/>
      <c r="O61" s="47"/>
    </row>
    <row r="62" spans="1:15">
      <c r="A62" s="3">
        <v>657691</v>
      </c>
      <c r="B62" s="4">
        <v>7311</v>
      </c>
      <c r="C62" s="2" t="s">
        <v>173</v>
      </c>
      <c r="D62" s="1" t="s">
        <v>29</v>
      </c>
      <c r="E62" s="32">
        <v>1619.99</v>
      </c>
      <c r="F62" s="33">
        <v>1376.9914999999999</v>
      </c>
      <c r="G62" s="31">
        <v>-242.99850000000015</v>
      </c>
      <c r="H62" s="28">
        <v>0.15</v>
      </c>
      <c r="I62" s="3" t="s">
        <v>15</v>
      </c>
      <c r="J62" s="3" t="s">
        <v>21</v>
      </c>
      <c r="K62" s="29">
        <v>46204</v>
      </c>
      <c r="L62" s="6">
        <v>46234</v>
      </c>
      <c r="M62" s="6" t="s">
        <v>22</v>
      </c>
      <c r="N62" s="47"/>
      <c r="O62" s="47"/>
    </row>
    <row r="63" spans="1:15">
      <c r="A63" s="3">
        <v>657690</v>
      </c>
      <c r="B63" s="4">
        <v>7236</v>
      </c>
      <c r="C63" s="2" t="s">
        <v>172</v>
      </c>
      <c r="D63" s="1" t="s">
        <v>28</v>
      </c>
      <c r="E63" s="32">
        <v>1619.99</v>
      </c>
      <c r="F63" s="33">
        <v>1376.9914999999999</v>
      </c>
      <c r="G63" s="31">
        <v>-242.99850000000015</v>
      </c>
      <c r="H63" s="28">
        <v>0.15</v>
      </c>
      <c r="I63" s="3" t="s">
        <v>15</v>
      </c>
      <c r="J63" s="3" t="s">
        <v>21</v>
      </c>
      <c r="K63" s="29">
        <v>46204</v>
      </c>
      <c r="L63" s="6">
        <v>46234</v>
      </c>
      <c r="M63" s="6" t="s">
        <v>22</v>
      </c>
      <c r="N63" s="47"/>
      <c r="O63" s="47"/>
    </row>
    <row r="64" spans="1:15">
      <c r="A64" s="3">
        <v>14541</v>
      </c>
      <c r="B64" s="4">
        <v>7235</v>
      </c>
      <c r="C64" s="2" t="s">
        <v>171</v>
      </c>
      <c r="D64" s="1" t="s">
        <v>27</v>
      </c>
      <c r="E64" s="32">
        <v>1619.99</v>
      </c>
      <c r="F64" s="33">
        <v>1376.9914999999999</v>
      </c>
      <c r="G64" s="31">
        <v>-242.99850000000015</v>
      </c>
      <c r="H64" s="28">
        <v>0.15</v>
      </c>
      <c r="I64" s="3" t="s">
        <v>15</v>
      </c>
      <c r="J64" s="3" t="s">
        <v>21</v>
      </c>
      <c r="K64" s="29">
        <v>46204</v>
      </c>
      <c r="L64" s="6">
        <v>46234</v>
      </c>
      <c r="M64" s="6" t="s">
        <v>22</v>
      </c>
      <c r="N64" s="47"/>
      <c r="O64" s="47"/>
    </row>
    <row r="65" spans="1:15">
      <c r="A65" s="23">
        <v>664895</v>
      </c>
      <c r="B65" s="23">
        <v>2</v>
      </c>
      <c r="C65" s="22">
        <v>7798089020110</v>
      </c>
      <c r="D65" s="5" t="s">
        <v>254</v>
      </c>
      <c r="E65" s="24">
        <v>1562.55</v>
      </c>
      <c r="F65" s="26">
        <v>1406.2950000000001</v>
      </c>
      <c r="G65" s="31">
        <v>-156.25499999999988</v>
      </c>
      <c r="H65" s="28">
        <v>0.1</v>
      </c>
      <c r="I65" s="3" t="s">
        <v>18</v>
      </c>
      <c r="J65" s="3" t="s">
        <v>23</v>
      </c>
      <c r="K65" s="29">
        <v>46204</v>
      </c>
      <c r="L65" s="6">
        <v>46234</v>
      </c>
      <c r="M65" s="6" t="s">
        <v>63</v>
      </c>
      <c r="N65" s="47"/>
      <c r="O65" s="47"/>
    </row>
    <row r="66" spans="1:15">
      <c r="A66">
        <v>664895</v>
      </c>
      <c r="B66">
        <v>2</v>
      </c>
      <c r="C66" s="64">
        <v>7798089020110</v>
      </c>
      <c r="D66" t="s">
        <v>254</v>
      </c>
      <c r="E66" s="47">
        <v>1562.5</v>
      </c>
      <c r="F66" s="47">
        <v>1250</v>
      </c>
      <c r="G66" s="54">
        <v>-312.5</v>
      </c>
      <c r="H66" s="62">
        <v>0.2</v>
      </c>
      <c r="I66" t="s">
        <v>113</v>
      </c>
      <c r="J66" t="s">
        <v>75</v>
      </c>
      <c r="K66" s="63">
        <v>46204</v>
      </c>
      <c r="L66" s="63">
        <v>46234</v>
      </c>
      <c r="M66" t="s">
        <v>63</v>
      </c>
    </row>
    <row r="67" spans="1:15">
      <c r="A67" s="3">
        <v>19307</v>
      </c>
      <c r="B67" s="4">
        <v>43148</v>
      </c>
      <c r="C67" s="2">
        <v>7790070410603</v>
      </c>
      <c r="D67" s="1" t="s">
        <v>279</v>
      </c>
      <c r="E67" s="32">
        <v>1761.413</v>
      </c>
      <c r="F67" s="33">
        <v>1585.2717</v>
      </c>
      <c r="G67" s="31">
        <v>-176.1413</v>
      </c>
      <c r="H67" s="28">
        <v>0.1</v>
      </c>
      <c r="I67" s="3" t="s">
        <v>18</v>
      </c>
      <c r="J67" s="3" t="s">
        <v>23</v>
      </c>
      <c r="K67" s="29">
        <v>46204</v>
      </c>
      <c r="L67" s="29">
        <v>46215</v>
      </c>
      <c r="M67" s="6" t="s">
        <v>63</v>
      </c>
      <c r="N67" s="47"/>
      <c r="O67" s="47"/>
    </row>
    <row r="68" spans="1:15">
      <c r="A68" s="3">
        <v>19306</v>
      </c>
      <c r="B68" s="4">
        <v>43149</v>
      </c>
      <c r="C68" s="2">
        <v>7790070410610</v>
      </c>
      <c r="D68" s="1" t="s">
        <v>275</v>
      </c>
      <c r="E68" s="32">
        <v>947.86800000000005</v>
      </c>
      <c r="F68" s="33">
        <v>853.08120000000008</v>
      </c>
      <c r="G68" s="31">
        <v>-94.786799999999971</v>
      </c>
      <c r="H68" s="28">
        <v>0.1</v>
      </c>
      <c r="I68" s="3" t="s">
        <v>18</v>
      </c>
      <c r="J68" s="3" t="s">
        <v>23</v>
      </c>
      <c r="K68" s="29">
        <v>46204</v>
      </c>
      <c r="L68" s="29">
        <v>46215</v>
      </c>
      <c r="M68" s="6" t="s">
        <v>63</v>
      </c>
      <c r="N68" s="47"/>
      <c r="O68" s="47"/>
    </row>
    <row r="69" spans="1:15">
      <c r="A69">
        <v>101429</v>
      </c>
      <c r="B69">
        <v>50011</v>
      </c>
      <c r="C69" s="64">
        <v>7790503198450</v>
      </c>
      <c r="D69" t="s">
        <v>297</v>
      </c>
      <c r="E69" s="47">
        <v>1748.75</v>
      </c>
      <c r="F69" s="47">
        <v>1399</v>
      </c>
      <c r="G69" s="54">
        <v>-349.75</v>
      </c>
      <c r="H69" s="62">
        <v>0.2</v>
      </c>
      <c r="I69" t="s">
        <v>113</v>
      </c>
      <c r="J69" t="s">
        <v>75</v>
      </c>
      <c r="K69" s="63">
        <v>46204</v>
      </c>
      <c r="L69" s="63">
        <v>46234</v>
      </c>
      <c r="M69" t="s">
        <v>63</v>
      </c>
    </row>
    <row r="70" spans="1:15">
      <c r="A70">
        <v>4526</v>
      </c>
      <c r="B70">
        <v>5444</v>
      </c>
      <c r="C70" s="64">
        <v>7798156760024</v>
      </c>
      <c r="D70" t="s">
        <v>298</v>
      </c>
      <c r="E70" s="47">
        <v>812.5</v>
      </c>
      <c r="F70" s="47">
        <v>650</v>
      </c>
      <c r="G70" s="54">
        <v>-162.5</v>
      </c>
      <c r="H70" s="62">
        <v>0.2</v>
      </c>
      <c r="I70" t="s">
        <v>113</v>
      </c>
      <c r="J70" t="s">
        <v>75</v>
      </c>
      <c r="K70" s="63">
        <v>46204</v>
      </c>
      <c r="L70" s="63">
        <v>46234</v>
      </c>
      <c r="M70" t="s">
        <v>63</v>
      </c>
    </row>
    <row r="71" spans="1:15">
      <c r="A71">
        <v>7458</v>
      </c>
      <c r="B71" t="s">
        <v>295</v>
      </c>
      <c r="C71" s="64">
        <v>7798141971381</v>
      </c>
      <c r="D71" t="s">
        <v>299</v>
      </c>
      <c r="E71" s="47">
        <v>1748.75</v>
      </c>
      <c r="F71" s="47">
        <v>1399</v>
      </c>
      <c r="G71" s="54">
        <v>-349.75</v>
      </c>
      <c r="H71" s="62">
        <v>0.2</v>
      </c>
      <c r="I71" t="s">
        <v>113</v>
      </c>
      <c r="J71" t="s">
        <v>75</v>
      </c>
      <c r="K71" s="63">
        <v>46204</v>
      </c>
      <c r="L71" s="63">
        <v>46234</v>
      </c>
      <c r="M71" t="s">
        <v>140</v>
      </c>
    </row>
    <row r="72" spans="1:15">
      <c r="A72" s="85">
        <v>666602</v>
      </c>
      <c r="B72" s="86">
        <v>197236</v>
      </c>
      <c r="C72" s="87">
        <v>7799155001750</v>
      </c>
      <c r="D72" s="88" t="s">
        <v>1344</v>
      </c>
      <c r="E72" s="89">
        <v>1944</v>
      </c>
      <c r="F72" s="89">
        <f>+E72*0.75</f>
        <v>1458</v>
      </c>
      <c r="G72" s="90">
        <f>+F72-E72</f>
        <v>-486</v>
      </c>
      <c r="H72" s="91">
        <v>0.25</v>
      </c>
      <c r="I72" s="86" t="s">
        <v>18</v>
      </c>
      <c r="J72" s="88" t="s">
        <v>24</v>
      </c>
      <c r="K72" s="92">
        <v>46205</v>
      </c>
      <c r="L72" s="92">
        <v>46234</v>
      </c>
      <c r="M72" s="6" t="s">
        <v>718</v>
      </c>
      <c r="N72" s="47"/>
      <c r="O72" s="47"/>
    </row>
    <row r="73" spans="1:15">
      <c r="A73" s="85">
        <v>666600</v>
      </c>
      <c r="B73" s="86">
        <v>197234</v>
      </c>
      <c r="C73" s="87">
        <v>7799155001743</v>
      </c>
      <c r="D73" s="88" t="s">
        <v>1347</v>
      </c>
      <c r="E73" s="89">
        <v>1944</v>
      </c>
      <c r="F73" s="89">
        <f>+E73*0.75</f>
        <v>1458</v>
      </c>
      <c r="G73" s="90">
        <f>+F73-E73</f>
        <v>-486</v>
      </c>
      <c r="H73" s="91">
        <v>0.25</v>
      </c>
      <c r="I73" s="86" t="s">
        <v>18</v>
      </c>
      <c r="J73" s="88" t="s">
        <v>24</v>
      </c>
      <c r="K73" s="92">
        <v>46205</v>
      </c>
      <c r="L73" s="92">
        <v>46234</v>
      </c>
      <c r="M73" s="6" t="s">
        <v>718</v>
      </c>
      <c r="N73" s="47"/>
      <c r="O73" s="47"/>
    </row>
    <row r="74" spans="1:15">
      <c r="A74" s="85">
        <v>666601</v>
      </c>
      <c r="B74" s="86">
        <v>197235</v>
      </c>
      <c r="C74" s="87">
        <v>7799155001767</v>
      </c>
      <c r="D74" s="88" t="s">
        <v>1345</v>
      </c>
      <c r="E74" s="89">
        <v>1944</v>
      </c>
      <c r="F74" s="89">
        <f>+E74*0.75</f>
        <v>1458</v>
      </c>
      <c r="G74" s="90">
        <f>+F74-E74</f>
        <v>-486</v>
      </c>
      <c r="H74" s="91">
        <v>0.25</v>
      </c>
      <c r="I74" s="86" t="s">
        <v>18</v>
      </c>
      <c r="J74" s="88" t="s">
        <v>24</v>
      </c>
      <c r="K74" s="92">
        <v>46205</v>
      </c>
      <c r="L74" s="92">
        <v>46234</v>
      </c>
      <c r="M74" s="6" t="s">
        <v>718</v>
      </c>
      <c r="N74" s="47"/>
      <c r="O74" s="47"/>
    </row>
    <row r="75" spans="1:15">
      <c r="A75" s="3">
        <v>5265</v>
      </c>
      <c r="B75" s="3">
        <v>4059</v>
      </c>
      <c r="C75" s="2">
        <v>7790895641183</v>
      </c>
      <c r="D75" s="1" t="s">
        <v>686</v>
      </c>
      <c r="E75" s="32">
        <v>2499.9969999999998</v>
      </c>
      <c r="F75" s="102">
        <v>1624.9980499999999</v>
      </c>
      <c r="G75" s="33">
        <v>-874.99894999999992</v>
      </c>
      <c r="H75" s="28">
        <v>0.35</v>
      </c>
      <c r="I75" s="3" t="s">
        <v>18</v>
      </c>
      <c r="J75" s="3" t="s">
        <v>112</v>
      </c>
      <c r="K75" s="29">
        <v>46205</v>
      </c>
      <c r="L75" s="6">
        <v>46234</v>
      </c>
      <c r="M75" s="6" t="s">
        <v>718</v>
      </c>
      <c r="N75" s="47"/>
      <c r="O75" s="47"/>
    </row>
    <row r="76" spans="1:15">
      <c r="A76" s="161">
        <v>11681</v>
      </c>
      <c r="B76" s="57">
        <v>4079</v>
      </c>
      <c r="C76" s="57">
        <v>7790895006104</v>
      </c>
      <c r="D76" s="45" t="s">
        <v>714</v>
      </c>
      <c r="E76" s="46">
        <v>3600.0050000000001</v>
      </c>
      <c r="F76" s="46">
        <v>2340.0032500000002</v>
      </c>
      <c r="G76" s="108">
        <v>-1260.0017499999999</v>
      </c>
      <c r="H76" s="58">
        <v>0.35</v>
      </c>
      <c r="I76" s="4" t="s">
        <v>18</v>
      </c>
      <c r="J76" s="4" t="s">
        <v>112</v>
      </c>
      <c r="K76" s="59">
        <v>46205</v>
      </c>
      <c r="L76" s="59">
        <v>46208</v>
      </c>
      <c r="M76" s="6" t="s">
        <v>718</v>
      </c>
      <c r="N76" s="47"/>
      <c r="O76" s="47"/>
    </row>
    <row r="77" spans="1:15">
      <c r="A77" s="3">
        <v>1494</v>
      </c>
      <c r="B77" s="3">
        <v>4055</v>
      </c>
      <c r="C77" s="2">
        <v>7790895640025</v>
      </c>
      <c r="D77" s="1" t="s">
        <v>688</v>
      </c>
      <c r="E77" s="32">
        <v>2499.9969999999998</v>
      </c>
      <c r="F77" s="102">
        <v>1624.9980499999999</v>
      </c>
      <c r="G77" s="33">
        <v>-874.99894999999992</v>
      </c>
      <c r="H77" s="28">
        <v>0.35</v>
      </c>
      <c r="I77" s="3" t="s">
        <v>18</v>
      </c>
      <c r="J77" s="3" t="s">
        <v>112</v>
      </c>
      <c r="K77" s="29">
        <v>46205</v>
      </c>
      <c r="L77" s="6">
        <v>46234</v>
      </c>
      <c r="M77" s="6" t="s">
        <v>718</v>
      </c>
      <c r="N77" s="47"/>
      <c r="O77" s="47"/>
    </row>
    <row r="78" spans="1:15">
      <c r="A78" s="161">
        <v>11682</v>
      </c>
      <c r="B78" s="57">
        <v>4075</v>
      </c>
      <c r="C78" s="57">
        <v>7790895006029</v>
      </c>
      <c r="D78" s="45" t="s">
        <v>715</v>
      </c>
      <c r="E78" s="46">
        <v>3600.0050000000001</v>
      </c>
      <c r="F78" s="46">
        <v>2340.0032500000002</v>
      </c>
      <c r="G78" s="108">
        <v>-1260.0017499999999</v>
      </c>
      <c r="H78" s="58">
        <v>0.35</v>
      </c>
      <c r="I78" s="4" t="s">
        <v>18</v>
      </c>
      <c r="J78" s="4" t="s">
        <v>112</v>
      </c>
      <c r="K78" s="59">
        <v>46205</v>
      </c>
      <c r="L78" s="59">
        <v>46208</v>
      </c>
      <c r="M78" s="6" t="s">
        <v>718</v>
      </c>
      <c r="N78" s="47"/>
      <c r="O78" s="47"/>
    </row>
    <row r="79" spans="1:15">
      <c r="A79" s="161">
        <v>664855</v>
      </c>
      <c r="B79" s="57">
        <v>4076</v>
      </c>
      <c r="C79" s="57">
        <v>7790895006036</v>
      </c>
      <c r="D79" s="45" t="s">
        <v>716</v>
      </c>
      <c r="E79" s="46">
        <v>3600.0050000000001</v>
      </c>
      <c r="F79" s="46">
        <v>2340.0032500000002</v>
      </c>
      <c r="G79" s="108">
        <v>-1260.0017499999999</v>
      </c>
      <c r="H79" s="58">
        <v>0.35</v>
      </c>
      <c r="I79" s="4" t="s">
        <v>18</v>
      </c>
      <c r="J79" s="4" t="s">
        <v>112</v>
      </c>
      <c r="K79" s="59">
        <v>46205</v>
      </c>
      <c r="L79" s="59">
        <v>46208</v>
      </c>
      <c r="M79" s="6" t="s">
        <v>718</v>
      </c>
      <c r="N79" s="47"/>
      <c r="O79" s="47"/>
    </row>
    <row r="80" spans="1:15">
      <c r="A80" s="3">
        <v>666580</v>
      </c>
      <c r="B80" s="3">
        <v>4070</v>
      </c>
      <c r="C80" s="2">
        <v>7790895651052</v>
      </c>
      <c r="D80" s="1" t="s">
        <v>690</v>
      </c>
      <c r="E80" s="32">
        <v>2500.0920000000001</v>
      </c>
      <c r="F80" s="102">
        <v>1625.0598000000002</v>
      </c>
      <c r="G80" s="33">
        <v>-875.03219999999988</v>
      </c>
      <c r="H80" s="28">
        <v>0.35</v>
      </c>
      <c r="I80" s="3" t="s">
        <v>18</v>
      </c>
      <c r="J80" s="3" t="s">
        <v>112</v>
      </c>
      <c r="K80" s="29">
        <v>46205</v>
      </c>
      <c r="L80" s="6">
        <v>46234</v>
      </c>
      <c r="M80" s="6" t="s">
        <v>718</v>
      </c>
      <c r="N80" s="47"/>
      <c r="O80" s="47"/>
    </row>
    <row r="81" spans="1:15">
      <c r="A81" s="3">
        <v>1215</v>
      </c>
      <c r="B81" s="3">
        <v>4053</v>
      </c>
      <c r="C81" s="2">
        <v>7790895640018</v>
      </c>
      <c r="D81" s="1" t="s">
        <v>687</v>
      </c>
      <c r="E81" s="32">
        <v>2499.9969999999998</v>
      </c>
      <c r="F81" s="102">
        <v>1624.9980499999999</v>
      </c>
      <c r="G81" s="33">
        <v>-874.99894999999992</v>
      </c>
      <c r="H81" s="28">
        <v>0.35</v>
      </c>
      <c r="I81" s="3" t="s">
        <v>18</v>
      </c>
      <c r="J81" s="3" t="s">
        <v>112</v>
      </c>
      <c r="K81" s="29">
        <v>46205</v>
      </c>
      <c r="L81" s="6">
        <v>46234</v>
      </c>
      <c r="M81" s="6" t="s">
        <v>718</v>
      </c>
      <c r="N81" s="47"/>
      <c r="O81" s="47"/>
    </row>
    <row r="82" spans="1:15">
      <c r="A82" s="3">
        <v>663983</v>
      </c>
      <c r="B82" s="3">
        <v>4067</v>
      </c>
      <c r="C82" s="2">
        <v>7790895648687</v>
      </c>
      <c r="D82" s="1" t="s">
        <v>689</v>
      </c>
      <c r="E82" s="32">
        <v>2500.0920000000001</v>
      </c>
      <c r="F82" s="102">
        <v>1625.0598000000002</v>
      </c>
      <c r="G82" s="33">
        <v>-875.03219999999988</v>
      </c>
      <c r="H82" s="28">
        <v>0.35</v>
      </c>
      <c r="I82" s="3" t="s">
        <v>18</v>
      </c>
      <c r="J82" s="3" t="s">
        <v>112</v>
      </c>
      <c r="K82" s="29">
        <v>46205</v>
      </c>
      <c r="L82" s="6">
        <v>46234</v>
      </c>
      <c r="M82" s="6" t="s">
        <v>718</v>
      </c>
      <c r="N82" s="47"/>
      <c r="O82" s="47"/>
    </row>
    <row r="83" spans="1:15">
      <c r="A83" s="3">
        <v>8642</v>
      </c>
      <c r="B83" s="4">
        <v>43300</v>
      </c>
      <c r="C83" s="2">
        <v>7790070412386</v>
      </c>
      <c r="D83" s="1" t="s">
        <v>291</v>
      </c>
      <c r="E83" s="32">
        <v>2988.9259999999999</v>
      </c>
      <c r="F83" s="33">
        <v>2690.0333999999998</v>
      </c>
      <c r="G83" s="31">
        <v>-298.89260000000013</v>
      </c>
      <c r="H83" s="28">
        <v>0.1</v>
      </c>
      <c r="I83" s="3" t="s">
        <v>18</v>
      </c>
      <c r="J83" s="3" t="s">
        <v>23</v>
      </c>
      <c r="K83" s="29">
        <v>46204</v>
      </c>
      <c r="L83" s="6">
        <v>46215</v>
      </c>
      <c r="M83" s="6" t="s">
        <v>63</v>
      </c>
      <c r="N83" s="47"/>
      <c r="O83" s="47"/>
    </row>
    <row r="84" spans="1:15">
      <c r="A84" s="3">
        <v>5564</v>
      </c>
      <c r="B84" s="4">
        <v>43299</v>
      </c>
      <c r="C84" s="2">
        <v>7790070412379</v>
      </c>
      <c r="D84" s="1" t="s">
        <v>292</v>
      </c>
      <c r="E84" s="32">
        <v>2988.9259999999999</v>
      </c>
      <c r="F84" s="33">
        <v>2690.0333999999998</v>
      </c>
      <c r="G84" s="31">
        <v>-298.89260000000013</v>
      </c>
      <c r="H84" s="28">
        <v>0.1</v>
      </c>
      <c r="I84" s="3" t="s">
        <v>18</v>
      </c>
      <c r="J84" s="3" t="s">
        <v>23</v>
      </c>
      <c r="K84" s="29">
        <v>46204</v>
      </c>
      <c r="L84" s="6">
        <v>46215</v>
      </c>
      <c r="M84" s="6" t="s">
        <v>63</v>
      </c>
      <c r="N84" s="47"/>
      <c r="O84" s="47"/>
    </row>
    <row r="85" spans="1:15">
      <c r="A85" s="3">
        <v>4050</v>
      </c>
      <c r="B85" s="4">
        <v>43298</v>
      </c>
      <c r="C85" s="2">
        <v>7790070412362</v>
      </c>
      <c r="D85" s="1" t="s">
        <v>290</v>
      </c>
      <c r="E85" s="32">
        <v>2988.9259999999999</v>
      </c>
      <c r="F85" s="33">
        <v>2690.0333999999998</v>
      </c>
      <c r="G85" s="31">
        <v>-298.89260000000013</v>
      </c>
      <c r="H85" s="28">
        <v>0.1</v>
      </c>
      <c r="I85" s="3" t="s">
        <v>18</v>
      </c>
      <c r="J85" s="3" t="s">
        <v>23</v>
      </c>
      <c r="K85" s="29">
        <v>46204</v>
      </c>
      <c r="L85" s="6">
        <v>46215</v>
      </c>
      <c r="M85" s="6" t="s">
        <v>63</v>
      </c>
      <c r="N85" s="47"/>
      <c r="O85" s="47"/>
    </row>
    <row r="86" spans="1:15">
      <c r="A86" s="3">
        <v>101995</v>
      </c>
      <c r="B86" s="4">
        <v>43296</v>
      </c>
      <c r="C86" s="2">
        <v>7790070410139</v>
      </c>
      <c r="D86" s="1" t="s">
        <v>281</v>
      </c>
      <c r="E86" s="32">
        <v>2989.4520000000002</v>
      </c>
      <c r="F86" s="33">
        <v>2690.5068000000001</v>
      </c>
      <c r="G86" s="31">
        <v>-298.94520000000011</v>
      </c>
      <c r="H86" s="28">
        <v>0.1</v>
      </c>
      <c r="I86" s="3" t="s">
        <v>18</v>
      </c>
      <c r="J86" s="3" t="s">
        <v>23</v>
      </c>
      <c r="K86" s="29">
        <v>46204</v>
      </c>
      <c r="L86" s="29">
        <v>46215</v>
      </c>
      <c r="M86" s="6" t="s">
        <v>63</v>
      </c>
      <c r="N86" s="47"/>
      <c r="O86" s="47"/>
    </row>
    <row r="87" spans="1:15">
      <c r="A87" s="3">
        <v>667340</v>
      </c>
      <c r="B87" s="4">
        <v>15398</v>
      </c>
      <c r="C87" s="2" t="s">
        <v>237</v>
      </c>
      <c r="D87" s="1" t="s">
        <v>238</v>
      </c>
      <c r="E87" s="32">
        <v>1249.99</v>
      </c>
      <c r="F87" s="33">
        <v>1099.9911999999999</v>
      </c>
      <c r="G87" s="31">
        <v>-149.99880000000007</v>
      </c>
      <c r="H87" s="28">
        <v>0.12</v>
      </c>
      <c r="I87" s="3" t="s">
        <v>18</v>
      </c>
      <c r="J87" s="3" t="s">
        <v>116</v>
      </c>
      <c r="K87" s="29">
        <v>46204</v>
      </c>
      <c r="L87" s="6">
        <v>46234</v>
      </c>
      <c r="M87" s="6" t="s">
        <v>59</v>
      </c>
      <c r="N87" s="47"/>
      <c r="O87" s="47"/>
    </row>
    <row r="88" spans="1:15">
      <c r="A88" s="3">
        <v>667341</v>
      </c>
      <c r="B88" s="4">
        <v>15400</v>
      </c>
      <c r="C88" s="2" t="s">
        <v>239</v>
      </c>
      <c r="D88" s="1" t="s">
        <v>240</v>
      </c>
      <c r="E88" s="32">
        <v>1249.99</v>
      </c>
      <c r="F88" s="33">
        <v>1099.9911999999999</v>
      </c>
      <c r="G88" s="31">
        <v>-149.99880000000007</v>
      </c>
      <c r="H88" s="28">
        <v>0.12</v>
      </c>
      <c r="I88" s="3" t="s">
        <v>18</v>
      </c>
      <c r="J88" s="3" t="s">
        <v>116</v>
      </c>
      <c r="K88" s="29">
        <v>46204</v>
      </c>
      <c r="L88" s="6">
        <v>46234</v>
      </c>
      <c r="M88" s="6" t="s">
        <v>59</v>
      </c>
      <c r="N88" s="47"/>
      <c r="O88" s="47"/>
    </row>
    <row r="89" spans="1:15">
      <c r="A89" s="3">
        <v>667342</v>
      </c>
      <c r="B89" s="4">
        <v>15394</v>
      </c>
      <c r="C89" s="2" t="s">
        <v>233</v>
      </c>
      <c r="D89" s="1" t="s">
        <v>234</v>
      </c>
      <c r="E89" s="32">
        <v>1249.99</v>
      </c>
      <c r="F89" s="33">
        <v>1099.9911999999999</v>
      </c>
      <c r="G89" s="31">
        <v>-149.99880000000007</v>
      </c>
      <c r="H89" s="28">
        <v>0.12</v>
      </c>
      <c r="I89" s="3" t="s">
        <v>18</v>
      </c>
      <c r="J89" s="3" t="s">
        <v>116</v>
      </c>
      <c r="K89" s="29">
        <v>46204</v>
      </c>
      <c r="L89" s="6">
        <v>46234</v>
      </c>
      <c r="M89" s="6" t="s">
        <v>59</v>
      </c>
      <c r="N89" s="47"/>
      <c r="O89" s="47"/>
    </row>
    <row r="90" spans="1:15">
      <c r="A90" s="3">
        <v>667343</v>
      </c>
      <c r="B90" s="4">
        <v>15396</v>
      </c>
      <c r="C90" s="2" t="s">
        <v>235</v>
      </c>
      <c r="D90" s="1" t="s">
        <v>236</v>
      </c>
      <c r="E90" s="32">
        <v>1249.99</v>
      </c>
      <c r="F90" s="33">
        <v>1099.9911999999999</v>
      </c>
      <c r="G90" s="31">
        <v>-149.99880000000007</v>
      </c>
      <c r="H90" s="28">
        <v>0.12</v>
      </c>
      <c r="I90" s="3" t="s">
        <v>18</v>
      </c>
      <c r="J90" s="3" t="s">
        <v>116</v>
      </c>
      <c r="K90" s="29">
        <v>46204</v>
      </c>
      <c r="L90" s="6">
        <v>46234</v>
      </c>
      <c r="M90" s="6" t="s">
        <v>59</v>
      </c>
      <c r="N90" s="47"/>
      <c r="O90" s="47"/>
    </row>
    <row r="91" spans="1:15">
      <c r="A91" s="3">
        <v>667365</v>
      </c>
      <c r="B91" s="4">
        <v>15516</v>
      </c>
      <c r="C91" s="2" t="s">
        <v>241</v>
      </c>
      <c r="D91" s="1" t="s">
        <v>242</v>
      </c>
      <c r="E91" s="32">
        <v>1249.99</v>
      </c>
      <c r="F91" s="33">
        <v>874.99299999999994</v>
      </c>
      <c r="G91" s="31">
        <v>-374.99700000000007</v>
      </c>
      <c r="H91" s="28">
        <v>0.3</v>
      </c>
      <c r="I91" s="3" t="s">
        <v>15</v>
      </c>
      <c r="J91" s="3" t="s">
        <v>20</v>
      </c>
      <c r="K91" s="29">
        <v>46204</v>
      </c>
      <c r="L91" s="6">
        <v>46234</v>
      </c>
      <c r="M91" s="6" t="s">
        <v>59</v>
      </c>
      <c r="N91" s="47"/>
      <c r="O91" s="47"/>
    </row>
    <row r="92" spans="1:15">
      <c r="A92" s="3">
        <v>666202</v>
      </c>
      <c r="B92" s="4">
        <v>962</v>
      </c>
      <c r="C92" s="2" t="s">
        <v>248</v>
      </c>
      <c r="D92" s="1" t="s">
        <v>135</v>
      </c>
      <c r="E92" s="32">
        <v>1464</v>
      </c>
      <c r="F92" s="33">
        <v>1098</v>
      </c>
      <c r="G92" s="31">
        <v>-366</v>
      </c>
      <c r="H92" s="28">
        <v>0.25</v>
      </c>
      <c r="I92" s="3" t="s">
        <v>15</v>
      </c>
      <c r="J92" s="3" t="s">
        <v>19</v>
      </c>
      <c r="K92" s="29">
        <v>46204</v>
      </c>
      <c r="L92" s="6">
        <v>46234</v>
      </c>
      <c r="M92" s="6" t="s">
        <v>59</v>
      </c>
      <c r="N92" s="47"/>
      <c r="O92" s="47"/>
    </row>
    <row r="93" spans="1:15">
      <c r="A93" s="3">
        <v>18868</v>
      </c>
      <c r="B93" s="4">
        <v>558</v>
      </c>
      <c r="C93" s="2" t="s">
        <v>247</v>
      </c>
      <c r="D93" s="1" t="s">
        <v>134</v>
      </c>
      <c r="E93" s="32">
        <v>1464</v>
      </c>
      <c r="F93" s="33">
        <v>1098</v>
      </c>
      <c r="G93" s="31">
        <v>-366</v>
      </c>
      <c r="H93" s="28">
        <v>0.25</v>
      </c>
      <c r="I93" s="3" t="s">
        <v>15</v>
      </c>
      <c r="J93" s="3" t="s">
        <v>19</v>
      </c>
      <c r="K93" s="29">
        <v>46204</v>
      </c>
      <c r="L93" s="6">
        <v>46234</v>
      </c>
      <c r="M93" s="6" t="s">
        <v>59</v>
      </c>
      <c r="N93" s="47"/>
      <c r="O93" s="47"/>
    </row>
    <row r="94" spans="1:15">
      <c r="A94" s="3">
        <v>2920</v>
      </c>
      <c r="B94" s="4">
        <v>173</v>
      </c>
      <c r="C94" s="2" t="s">
        <v>246</v>
      </c>
      <c r="D94" s="1" t="s">
        <v>133</v>
      </c>
      <c r="E94" s="32">
        <v>1464</v>
      </c>
      <c r="F94" s="33">
        <v>1098</v>
      </c>
      <c r="G94" s="31">
        <v>-366</v>
      </c>
      <c r="H94" s="28">
        <v>0.25</v>
      </c>
      <c r="I94" s="3" t="s">
        <v>15</v>
      </c>
      <c r="J94" s="3" t="s">
        <v>19</v>
      </c>
      <c r="K94" s="29">
        <v>46204</v>
      </c>
      <c r="L94" s="6">
        <v>46234</v>
      </c>
      <c r="M94" s="6" t="s">
        <v>59</v>
      </c>
      <c r="N94" s="47"/>
      <c r="O94" s="47"/>
    </row>
    <row r="95" spans="1:15">
      <c r="A95" s="34">
        <v>659648</v>
      </c>
      <c r="B95" s="35">
        <v>2105</v>
      </c>
      <c r="C95" s="27" t="s">
        <v>250</v>
      </c>
      <c r="D95" s="5" t="s">
        <v>137</v>
      </c>
      <c r="E95" s="24">
        <v>1464</v>
      </c>
      <c r="F95" s="25">
        <v>1098</v>
      </c>
      <c r="G95" s="30">
        <v>-366</v>
      </c>
      <c r="H95" s="28">
        <v>0.25</v>
      </c>
      <c r="I95" s="3" t="s">
        <v>15</v>
      </c>
      <c r="J95" s="3" t="s">
        <v>19</v>
      </c>
      <c r="K95" s="29">
        <v>46204</v>
      </c>
      <c r="L95" s="29">
        <v>46234</v>
      </c>
      <c r="M95" s="3" t="s">
        <v>59</v>
      </c>
      <c r="N95" s="47"/>
      <c r="O95" s="47"/>
    </row>
    <row r="96" spans="1:15">
      <c r="A96" s="3">
        <v>1522</v>
      </c>
      <c r="B96" s="4">
        <v>1548</v>
      </c>
      <c r="C96" s="2" t="s">
        <v>249</v>
      </c>
      <c r="D96" s="1" t="s">
        <v>136</v>
      </c>
      <c r="E96" s="32">
        <v>1464</v>
      </c>
      <c r="F96" s="33">
        <v>1098</v>
      </c>
      <c r="G96" s="31">
        <v>-366</v>
      </c>
      <c r="H96" s="28">
        <v>0.25</v>
      </c>
      <c r="I96" s="3" t="s">
        <v>15</v>
      </c>
      <c r="J96" s="3" t="s">
        <v>19</v>
      </c>
      <c r="K96" s="29">
        <v>46204</v>
      </c>
      <c r="L96" s="6">
        <v>46234</v>
      </c>
      <c r="M96" s="6" t="s">
        <v>59</v>
      </c>
      <c r="N96" s="47"/>
      <c r="O96" s="47"/>
    </row>
    <row r="97" spans="1:15">
      <c r="A97" s="93">
        <v>101646</v>
      </c>
      <c r="B97" s="94">
        <v>22216</v>
      </c>
      <c r="C97" s="95">
        <v>7795697431345</v>
      </c>
      <c r="D97" s="96" t="s">
        <v>1354</v>
      </c>
      <c r="E97" s="97">
        <v>5762.82</v>
      </c>
      <c r="F97" s="97">
        <f>+E97*0.78</f>
        <v>4494.9996000000001</v>
      </c>
      <c r="G97" s="98">
        <f>+F97-E97</f>
        <v>-1267.8203999999996</v>
      </c>
      <c r="H97" s="99">
        <v>0.22</v>
      </c>
      <c r="I97" s="94" t="s">
        <v>18</v>
      </c>
      <c r="J97" s="96" t="s">
        <v>648</v>
      </c>
      <c r="K97" s="100">
        <v>46205</v>
      </c>
      <c r="L97" s="100">
        <v>46234</v>
      </c>
      <c r="M97" s="101" t="s">
        <v>718</v>
      </c>
      <c r="N97" s="47"/>
      <c r="O97" s="47"/>
    </row>
    <row r="98" spans="1:15">
      <c r="A98" s="93">
        <v>4669</v>
      </c>
      <c r="B98" s="94">
        <v>21102</v>
      </c>
      <c r="C98" s="95">
        <v>7793147001025</v>
      </c>
      <c r="D98" s="96" t="s">
        <v>1353</v>
      </c>
      <c r="E98" s="97">
        <v>4580</v>
      </c>
      <c r="F98" s="97">
        <f>+E98*0.7</f>
        <v>3206</v>
      </c>
      <c r="G98" s="98">
        <f>+F98-E98</f>
        <v>-1374</v>
      </c>
      <c r="H98" s="99">
        <v>0.3</v>
      </c>
      <c r="I98" s="94" t="s">
        <v>18</v>
      </c>
      <c r="J98" s="96" t="s">
        <v>94</v>
      </c>
      <c r="K98" s="100">
        <v>46205</v>
      </c>
      <c r="L98" s="100">
        <v>46234</v>
      </c>
      <c r="M98" s="101" t="s">
        <v>718</v>
      </c>
      <c r="N98" s="47"/>
      <c r="O98" s="47"/>
    </row>
    <row r="99" spans="1:15">
      <c r="A99" s="3">
        <v>4294</v>
      </c>
      <c r="B99" s="4">
        <v>20433</v>
      </c>
      <c r="C99" s="2">
        <v>7501064106859</v>
      </c>
      <c r="D99" s="1" t="s">
        <v>638</v>
      </c>
      <c r="E99" s="32">
        <v>6869.23</v>
      </c>
      <c r="F99" s="33">
        <v>4464.9994999999999</v>
      </c>
      <c r="G99" s="33">
        <v>-2404.2304999999997</v>
      </c>
      <c r="H99" s="28">
        <v>0.35</v>
      </c>
      <c r="I99" s="3" t="s">
        <v>18</v>
      </c>
      <c r="J99" s="3" t="s">
        <v>112</v>
      </c>
      <c r="K99" s="29">
        <v>46205</v>
      </c>
      <c r="L99" s="6">
        <v>46234</v>
      </c>
      <c r="M99" s="6" t="s">
        <v>718</v>
      </c>
      <c r="N99" s="47"/>
      <c r="O99" s="47"/>
    </row>
    <row r="100" spans="1:15">
      <c r="A100" s="85">
        <v>3399</v>
      </c>
      <c r="B100" s="86">
        <v>23150</v>
      </c>
      <c r="C100" s="87">
        <v>7793147572044</v>
      </c>
      <c r="D100" s="88" t="s">
        <v>1351</v>
      </c>
      <c r="E100" s="89">
        <v>2742.86</v>
      </c>
      <c r="F100" s="89">
        <f>+E100*0.7</f>
        <v>1920.002</v>
      </c>
      <c r="G100" s="90">
        <f>+F100-E100</f>
        <v>-822.85800000000017</v>
      </c>
      <c r="H100" s="91">
        <v>0.3</v>
      </c>
      <c r="I100" s="86" t="s">
        <v>18</v>
      </c>
      <c r="J100" s="88" t="s">
        <v>94</v>
      </c>
      <c r="K100" s="92">
        <v>46205</v>
      </c>
      <c r="L100" s="92">
        <v>46234</v>
      </c>
      <c r="M100" s="6" t="s">
        <v>718</v>
      </c>
      <c r="N100" s="47"/>
      <c r="O100" s="47"/>
    </row>
    <row r="101" spans="1:15">
      <c r="A101" s="3">
        <v>663854</v>
      </c>
      <c r="B101" s="4">
        <v>31355</v>
      </c>
      <c r="C101" s="2">
        <v>7792798014958</v>
      </c>
      <c r="D101" s="1" t="s">
        <v>639</v>
      </c>
      <c r="E101" s="32">
        <v>2920</v>
      </c>
      <c r="F101" s="33">
        <v>1460</v>
      </c>
      <c r="G101" s="33">
        <v>-1460</v>
      </c>
      <c r="H101" s="28">
        <v>0.5</v>
      </c>
      <c r="I101" s="3" t="s">
        <v>15</v>
      </c>
      <c r="J101" s="3" t="s">
        <v>640</v>
      </c>
      <c r="K101" s="29">
        <v>46205</v>
      </c>
      <c r="L101" s="6">
        <v>46234</v>
      </c>
      <c r="M101" s="6" t="s">
        <v>718</v>
      </c>
      <c r="N101" s="47"/>
      <c r="O101" s="47"/>
    </row>
    <row r="102" spans="1:15" s="36" customFormat="1">
      <c r="A102" s="3">
        <v>2487</v>
      </c>
      <c r="B102" s="4">
        <v>7618</v>
      </c>
      <c r="C102" s="2">
        <v>7792798005888</v>
      </c>
      <c r="D102" s="1" t="s">
        <v>632</v>
      </c>
      <c r="E102" s="32">
        <v>2613.33</v>
      </c>
      <c r="F102" s="33">
        <v>1959.9974999999999</v>
      </c>
      <c r="G102" s="33">
        <v>-653.33249999999998</v>
      </c>
      <c r="H102" s="28">
        <v>0.25</v>
      </c>
      <c r="I102" s="3" t="s">
        <v>18</v>
      </c>
      <c r="J102" s="3" t="s">
        <v>24</v>
      </c>
      <c r="K102" s="29">
        <v>46205</v>
      </c>
      <c r="L102" s="6">
        <v>46234</v>
      </c>
      <c r="M102" s="6" t="s">
        <v>718</v>
      </c>
      <c r="N102" s="47"/>
      <c r="O102" s="47"/>
    </row>
    <row r="103" spans="1:15">
      <c r="A103" s="3">
        <v>8213</v>
      </c>
      <c r="B103" s="4">
        <v>24683</v>
      </c>
      <c r="C103" s="2">
        <v>7793147118822</v>
      </c>
      <c r="D103" s="1" t="s">
        <v>300</v>
      </c>
      <c r="E103" s="32">
        <v>2380</v>
      </c>
      <c r="F103" s="33">
        <v>1785</v>
      </c>
      <c r="G103" s="33">
        <v>-595</v>
      </c>
      <c r="H103" s="28">
        <v>0.25</v>
      </c>
      <c r="I103" s="3" t="s">
        <v>18</v>
      </c>
      <c r="J103" s="3" t="s">
        <v>24</v>
      </c>
      <c r="K103" s="29">
        <v>46205</v>
      </c>
      <c r="L103" s="6">
        <v>46234</v>
      </c>
      <c r="M103" s="6" t="s">
        <v>718</v>
      </c>
      <c r="N103" s="47"/>
      <c r="O103" s="47"/>
    </row>
    <row r="104" spans="1:15">
      <c r="A104">
        <v>8213</v>
      </c>
      <c r="B104">
        <v>24683</v>
      </c>
      <c r="C104" s="64">
        <v>7793147118822</v>
      </c>
      <c r="D104" t="s">
        <v>300</v>
      </c>
      <c r="E104" s="47">
        <v>2231.25</v>
      </c>
      <c r="F104" s="47">
        <v>1785</v>
      </c>
      <c r="G104" s="54">
        <v>-446.25</v>
      </c>
      <c r="H104" s="62">
        <v>0.2</v>
      </c>
      <c r="I104" t="s">
        <v>113</v>
      </c>
      <c r="J104" t="s">
        <v>75</v>
      </c>
      <c r="K104" s="63">
        <v>46204</v>
      </c>
      <c r="L104" s="63">
        <v>46234</v>
      </c>
      <c r="M104" t="s">
        <v>17</v>
      </c>
    </row>
    <row r="105" spans="1:15">
      <c r="A105" s="3">
        <v>665438</v>
      </c>
      <c r="B105" s="4">
        <v>30895</v>
      </c>
      <c r="C105" s="2">
        <v>7891991305679</v>
      </c>
      <c r="D105" s="1" t="s">
        <v>646</v>
      </c>
      <c r="E105" s="32">
        <v>3500</v>
      </c>
      <c r="F105" s="33">
        <v>1750</v>
      </c>
      <c r="G105" s="33">
        <v>-1750</v>
      </c>
      <c r="H105" s="28">
        <v>0.5</v>
      </c>
      <c r="I105" s="3" t="s">
        <v>15</v>
      </c>
      <c r="J105" s="3" t="s">
        <v>640</v>
      </c>
      <c r="K105" s="29">
        <v>46205</v>
      </c>
      <c r="L105" s="6">
        <v>46234</v>
      </c>
      <c r="M105" s="6" t="s">
        <v>718</v>
      </c>
      <c r="N105" s="47"/>
      <c r="O105" s="47"/>
    </row>
    <row r="106" spans="1:15">
      <c r="A106" s="3">
        <v>3599</v>
      </c>
      <c r="B106" s="4">
        <v>20443</v>
      </c>
      <c r="C106" s="2">
        <v>75032715</v>
      </c>
      <c r="D106" s="1" t="s">
        <v>636</v>
      </c>
      <c r="E106" s="32">
        <v>4269.2299999999996</v>
      </c>
      <c r="F106" s="33">
        <v>2774.9994999999999</v>
      </c>
      <c r="G106" s="33">
        <v>-1494.2304999999997</v>
      </c>
      <c r="H106" s="28">
        <v>0.35</v>
      </c>
      <c r="I106" s="3" t="s">
        <v>18</v>
      </c>
      <c r="J106" s="3" t="s">
        <v>112</v>
      </c>
      <c r="K106" s="29">
        <v>46205</v>
      </c>
      <c r="L106" s="6">
        <v>46234</v>
      </c>
      <c r="M106" s="6" t="s">
        <v>718</v>
      </c>
      <c r="N106" s="47"/>
      <c r="O106" s="47"/>
    </row>
    <row r="107" spans="1:15">
      <c r="A107" s="3">
        <v>665452</v>
      </c>
      <c r="B107" s="4">
        <v>31213</v>
      </c>
      <c r="C107" s="2">
        <v>7792798014705</v>
      </c>
      <c r="D107" s="1" t="s">
        <v>641</v>
      </c>
      <c r="E107" s="32">
        <v>4320</v>
      </c>
      <c r="F107" s="33">
        <v>2160</v>
      </c>
      <c r="G107" s="33">
        <v>-2160</v>
      </c>
      <c r="H107" s="28">
        <v>0.5</v>
      </c>
      <c r="I107" s="3" t="s">
        <v>15</v>
      </c>
      <c r="J107" s="3" t="s">
        <v>640</v>
      </c>
      <c r="K107" s="29">
        <v>46205</v>
      </c>
      <c r="L107" s="6">
        <v>46234</v>
      </c>
      <c r="M107" s="6" t="s">
        <v>718</v>
      </c>
      <c r="N107" s="47"/>
      <c r="O107" s="47"/>
    </row>
    <row r="108" spans="1:15">
      <c r="A108" s="161">
        <v>667114</v>
      </c>
      <c r="B108" s="57">
        <v>6690</v>
      </c>
      <c r="C108" s="57">
        <v>7898953990430</v>
      </c>
      <c r="D108" s="45" t="s">
        <v>717</v>
      </c>
      <c r="E108" s="46">
        <v>3500.0219999999999</v>
      </c>
      <c r="F108" s="46">
        <v>2275.0142999999998</v>
      </c>
      <c r="G108" s="108">
        <v>-1225.0077000000001</v>
      </c>
      <c r="H108" s="58">
        <v>0.35</v>
      </c>
      <c r="I108" s="4" t="s">
        <v>18</v>
      </c>
      <c r="J108" s="4" t="s">
        <v>112</v>
      </c>
      <c r="K108" s="59">
        <v>46205</v>
      </c>
      <c r="L108" s="59">
        <v>46208</v>
      </c>
      <c r="M108" s="6" t="s">
        <v>718</v>
      </c>
      <c r="N108" s="47"/>
      <c r="O108" s="47"/>
    </row>
    <row r="109" spans="1:15">
      <c r="A109" s="85">
        <v>9844</v>
      </c>
      <c r="B109" s="86">
        <v>23009</v>
      </c>
      <c r="C109" s="87">
        <v>7795697000213</v>
      </c>
      <c r="D109" s="88" t="s">
        <v>1348</v>
      </c>
      <c r="E109" s="89">
        <v>3933.33</v>
      </c>
      <c r="F109" s="89">
        <f>+E109*0.75</f>
        <v>2949.9974999999999</v>
      </c>
      <c r="G109" s="90">
        <f t="shared" ref="G109:G115" si="0">+F109-E109</f>
        <v>-983.33249999999998</v>
      </c>
      <c r="H109" s="91">
        <v>0.25</v>
      </c>
      <c r="I109" s="86" t="s">
        <v>18</v>
      </c>
      <c r="J109" s="88" t="s">
        <v>24</v>
      </c>
      <c r="K109" s="92">
        <v>46205</v>
      </c>
      <c r="L109" s="92">
        <v>46234</v>
      </c>
      <c r="M109" s="6" t="s">
        <v>718</v>
      </c>
      <c r="N109" s="47"/>
      <c r="O109" s="47"/>
    </row>
    <row r="110" spans="1:15">
      <c r="A110" s="85">
        <v>666224</v>
      </c>
      <c r="B110" s="86">
        <v>23371</v>
      </c>
      <c r="C110" s="87">
        <v>7793147574093</v>
      </c>
      <c r="D110" s="88" t="s">
        <v>1342</v>
      </c>
      <c r="E110" s="89">
        <v>3379.998</v>
      </c>
      <c r="F110" s="89">
        <f>+E110*0.75</f>
        <v>2534.9985000000001</v>
      </c>
      <c r="G110" s="90">
        <f t="shared" si="0"/>
        <v>-844.9994999999999</v>
      </c>
      <c r="H110" s="91">
        <v>0.25</v>
      </c>
      <c r="I110" s="86" t="s">
        <v>18</v>
      </c>
      <c r="J110" s="88" t="s">
        <v>24</v>
      </c>
      <c r="K110" s="92">
        <v>46205</v>
      </c>
      <c r="L110" s="92">
        <v>46234</v>
      </c>
      <c r="M110" s="6" t="s">
        <v>718</v>
      </c>
      <c r="N110" s="47"/>
      <c r="O110" s="47"/>
    </row>
    <row r="111" spans="1:15">
      <c r="A111" s="85">
        <v>663782</v>
      </c>
      <c r="B111" s="86">
        <v>23271</v>
      </c>
      <c r="C111" s="87">
        <v>7802100003270</v>
      </c>
      <c r="D111" s="88" t="s">
        <v>1343</v>
      </c>
      <c r="E111" s="89">
        <v>3273.33</v>
      </c>
      <c r="F111" s="89">
        <f>+E111*0.75</f>
        <v>2454.9974999999999</v>
      </c>
      <c r="G111" s="90">
        <f t="shared" si="0"/>
        <v>-818.33249999999998</v>
      </c>
      <c r="H111" s="91">
        <v>0.25</v>
      </c>
      <c r="I111" s="86" t="s">
        <v>18</v>
      </c>
      <c r="J111" s="88" t="s">
        <v>24</v>
      </c>
      <c r="K111" s="92">
        <v>46205</v>
      </c>
      <c r="L111" s="92">
        <v>46234</v>
      </c>
      <c r="M111" s="6" t="s">
        <v>718</v>
      </c>
      <c r="N111" s="47"/>
      <c r="O111" s="47"/>
    </row>
    <row r="112" spans="1:15">
      <c r="A112" s="85">
        <v>6329</v>
      </c>
      <c r="B112" s="86">
        <v>21542</v>
      </c>
      <c r="C112" s="87">
        <v>7793147009137</v>
      </c>
      <c r="D112" s="88" t="s">
        <v>1338</v>
      </c>
      <c r="E112" s="89">
        <v>4200</v>
      </c>
      <c r="F112" s="89">
        <f>+E112*0.8</f>
        <v>3360</v>
      </c>
      <c r="G112" s="90">
        <f t="shared" si="0"/>
        <v>-840</v>
      </c>
      <c r="H112" s="91">
        <v>0.2</v>
      </c>
      <c r="I112" s="86" t="s">
        <v>18</v>
      </c>
      <c r="J112" s="88" t="s">
        <v>75</v>
      </c>
      <c r="K112" s="92">
        <v>46205</v>
      </c>
      <c r="L112" s="92">
        <v>46234</v>
      </c>
      <c r="M112" s="6" t="s">
        <v>718</v>
      </c>
      <c r="N112" s="47"/>
      <c r="O112" s="47"/>
    </row>
    <row r="113" spans="1:15">
      <c r="A113" s="85">
        <v>665641</v>
      </c>
      <c r="B113" s="86">
        <v>23363</v>
      </c>
      <c r="C113" s="87">
        <v>7793147574109</v>
      </c>
      <c r="D113" s="88" t="s">
        <v>1355</v>
      </c>
      <c r="E113" s="89">
        <v>3550.72</v>
      </c>
      <c r="F113" s="89">
        <f>+E113*0.69</f>
        <v>2449.9967999999999</v>
      </c>
      <c r="G113" s="90">
        <f t="shared" si="0"/>
        <v>-1100.7231999999999</v>
      </c>
      <c r="H113" s="91">
        <v>0.31</v>
      </c>
      <c r="I113" s="86" t="s">
        <v>18</v>
      </c>
      <c r="J113" s="88" t="s">
        <v>650</v>
      </c>
      <c r="K113" s="92">
        <v>46205</v>
      </c>
      <c r="L113" s="92">
        <v>46234</v>
      </c>
      <c r="M113" s="6" t="s">
        <v>718</v>
      </c>
      <c r="N113" s="47"/>
      <c r="O113" s="47"/>
    </row>
    <row r="114" spans="1:15">
      <c r="A114" s="85">
        <v>13270</v>
      </c>
      <c r="B114" s="86">
        <v>23168</v>
      </c>
      <c r="C114" s="87">
        <v>7793147571689</v>
      </c>
      <c r="D114" s="88" t="s">
        <v>1337</v>
      </c>
      <c r="E114" s="89">
        <v>2618.75</v>
      </c>
      <c r="F114" s="89">
        <f>+E114*0.8</f>
        <v>2095</v>
      </c>
      <c r="G114" s="90">
        <f t="shared" si="0"/>
        <v>-523.75</v>
      </c>
      <c r="H114" s="91">
        <v>0.2</v>
      </c>
      <c r="I114" s="86" t="s">
        <v>18</v>
      </c>
      <c r="J114" s="88" t="s">
        <v>75</v>
      </c>
      <c r="K114" s="92">
        <v>46205</v>
      </c>
      <c r="L114" s="92">
        <v>46234</v>
      </c>
      <c r="M114" s="6" t="s">
        <v>718</v>
      </c>
      <c r="N114" s="47"/>
      <c r="O114" s="47"/>
    </row>
    <row r="115" spans="1:15">
      <c r="A115" s="85">
        <v>666599</v>
      </c>
      <c r="B115" s="86">
        <v>23374</v>
      </c>
      <c r="C115" s="87">
        <v>7793147574130</v>
      </c>
      <c r="D115" s="88" t="s">
        <v>1350</v>
      </c>
      <c r="E115" s="89">
        <v>2295.7800000000002</v>
      </c>
      <c r="F115" s="89">
        <f>+E115*0.71</f>
        <v>1630.0038</v>
      </c>
      <c r="G115" s="90">
        <f t="shared" si="0"/>
        <v>-665.77620000000024</v>
      </c>
      <c r="H115" s="91">
        <v>0.28999999999999998</v>
      </c>
      <c r="I115" s="86" t="s">
        <v>18</v>
      </c>
      <c r="J115" s="88" t="s">
        <v>649</v>
      </c>
      <c r="K115" s="92">
        <v>46205</v>
      </c>
      <c r="L115" s="92">
        <v>46234</v>
      </c>
      <c r="M115" s="6" t="s">
        <v>718</v>
      </c>
      <c r="N115" s="47"/>
      <c r="O115" s="47"/>
    </row>
    <row r="116" spans="1:15">
      <c r="A116" s="3">
        <v>660742</v>
      </c>
      <c r="B116" s="4">
        <v>31558</v>
      </c>
      <c r="C116" s="2">
        <v>7792798010264</v>
      </c>
      <c r="D116" s="1" t="s">
        <v>643</v>
      </c>
      <c r="E116" s="32">
        <v>2840</v>
      </c>
      <c r="F116" s="33">
        <v>1420</v>
      </c>
      <c r="G116" s="33">
        <v>-1420</v>
      </c>
      <c r="H116" s="28">
        <v>0.5</v>
      </c>
      <c r="I116" s="3" t="s">
        <v>15</v>
      </c>
      <c r="J116" s="3" t="s">
        <v>640</v>
      </c>
      <c r="K116" s="29">
        <v>46205</v>
      </c>
      <c r="L116" s="6">
        <v>46234</v>
      </c>
      <c r="M116" s="6" t="s">
        <v>718</v>
      </c>
      <c r="N116" s="47"/>
      <c r="O116" s="47"/>
    </row>
    <row r="117" spans="1:15">
      <c r="A117" s="85">
        <v>101648</v>
      </c>
      <c r="B117" s="86">
        <v>23301</v>
      </c>
      <c r="C117" s="87">
        <v>7793147570231</v>
      </c>
      <c r="D117" s="88" t="s">
        <v>1346</v>
      </c>
      <c r="E117" s="89">
        <v>3813.33</v>
      </c>
      <c r="F117" s="89">
        <f>+E117*0.75</f>
        <v>2859.9974999999999</v>
      </c>
      <c r="G117" s="90">
        <f>+F117-E117</f>
        <v>-953.33249999999998</v>
      </c>
      <c r="H117" s="91">
        <v>0.25</v>
      </c>
      <c r="I117" s="86" t="s">
        <v>18</v>
      </c>
      <c r="J117" s="88" t="s">
        <v>24</v>
      </c>
      <c r="K117" s="92">
        <v>46205</v>
      </c>
      <c r="L117" s="92">
        <v>46234</v>
      </c>
      <c r="M117" s="6" t="s">
        <v>718</v>
      </c>
      <c r="N117" s="47"/>
      <c r="O117" s="47"/>
    </row>
    <row r="118" spans="1:15">
      <c r="A118" s="3">
        <v>12710</v>
      </c>
      <c r="B118" s="4">
        <v>31216</v>
      </c>
      <c r="C118" s="2">
        <v>7792798009107</v>
      </c>
      <c r="D118" s="1" t="s">
        <v>642</v>
      </c>
      <c r="E118" s="32">
        <v>2120</v>
      </c>
      <c r="F118" s="33">
        <v>1060</v>
      </c>
      <c r="G118" s="33">
        <v>-1060</v>
      </c>
      <c r="H118" s="28">
        <v>0.5</v>
      </c>
      <c r="I118" s="3" t="s">
        <v>15</v>
      </c>
      <c r="J118" s="3" t="s">
        <v>640</v>
      </c>
      <c r="K118" s="29">
        <v>46205</v>
      </c>
      <c r="L118" s="6">
        <v>46234</v>
      </c>
      <c r="M118" s="6" t="s">
        <v>718</v>
      </c>
      <c r="N118" s="47"/>
      <c r="O118" s="47"/>
    </row>
    <row r="119" spans="1:15">
      <c r="A119" s="3">
        <v>18514</v>
      </c>
      <c r="B119" s="4">
        <v>29743</v>
      </c>
      <c r="C119" s="2">
        <v>7792798001262</v>
      </c>
      <c r="D119" s="1" t="s">
        <v>633</v>
      </c>
      <c r="E119" s="32">
        <v>2102.7399999999998</v>
      </c>
      <c r="F119" s="33">
        <v>1535.0001999999997</v>
      </c>
      <c r="G119" s="33">
        <v>-567.73980000000006</v>
      </c>
      <c r="H119" s="28">
        <v>0.27</v>
      </c>
      <c r="I119" s="3" t="s">
        <v>18</v>
      </c>
      <c r="J119" s="3" t="s">
        <v>634</v>
      </c>
      <c r="K119" s="29">
        <v>46205</v>
      </c>
      <c r="L119" s="6">
        <v>46234</v>
      </c>
      <c r="M119" s="6" t="s">
        <v>718</v>
      </c>
      <c r="N119" s="47"/>
      <c r="O119" s="47"/>
    </row>
    <row r="120" spans="1:15">
      <c r="A120" s="3">
        <v>884</v>
      </c>
      <c r="B120" s="4">
        <v>2117</v>
      </c>
      <c r="C120" s="2">
        <v>7792798012923</v>
      </c>
      <c r="D120" s="1" t="s">
        <v>631</v>
      </c>
      <c r="E120" s="32">
        <v>2613.33</v>
      </c>
      <c r="F120" s="33">
        <v>1959.9974999999999</v>
      </c>
      <c r="G120" s="33">
        <v>-653.33249999999998</v>
      </c>
      <c r="H120" s="28">
        <v>0.25</v>
      </c>
      <c r="I120" s="3" t="s">
        <v>18</v>
      </c>
      <c r="J120" s="3" t="s">
        <v>24</v>
      </c>
      <c r="K120" s="29">
        <v>46205</v>
      </c>
      <c r="L120" s="6">
        <v>46234</v>
      </c>
      <c r="M120" s="6" t="s">
        <v>718</v>
      </c>
      <c r="N120" s="47"/>
      <c r="O120" s="47"/>
    </row>
    <row r="121" spans="1:15">
      <c r="A121" s="85">
        <v>13261</v>
      </c>
      <c r="B121" s="86">
        <v>23163</v>
      </c>
      <c r="C121" s="87">
        <v>7793147118945</v>
      </c>
      <c r="D121" s="88" t="s">
        <v>1340</v>
      </c>
      <c r="E121" s="89">
        <v>2493.33</v>
      </c>
      <c r="F121" s="89">
        <f>+E121*0.75</f>
        <v>1869.9974999999999</v>
      </c>
      <c r="G121" s="90">
        <f>+F121-E121</f>
        <v>-623.33249999999998</v>
      </c>
      <c r="H121" s="91">
        <v>0.25</v>
      </c>
      <c r="I121" s="86" t="s">
        <v>18</v>
      </c>
      <c r="J121" s="88" t="s">
        <v>24</v>
      </c>
      <c r="K121" s="92">
        <v>46205</v>
      </c>
      <c r="L121" s="92">
        <v>46234</v>
      </c>
      <c r="M121" s="6" t="s">
        <v>718</v>
      </c>
      <c r="N121" s="47"/>
      <c r="O121" s="47"/>
    </row>
    <row r="122" spans="1:15">
      <c r="A122" s="85">
        <v>666782</v>
      </c>
      <c r="B122" s="86">
        <v>23382</v>
      </c>
      <c r="C122" s="87">
        <v>7793147574222</v>
      </c>
      <c r="D122" s="88" t="s">
        <v>1341</v>
      </c>
      <c r="E122" s="89">
        <v>2906.66</v>
      </c>
      <c r="F122" s="89">
        <f>+E122*0.75</f>
        <v>2179.9949999999999</v>
      </c>
      <c r="G122" s="90">
        <f>+F122-E122</f>
        <v>-726.66499999999996</v>
      </c>
      <c r="H122" s="91">
        <v>0.25</v>
      </c>
      <c r="I122" s="86" t="s">
        <v>18</v>
      </c>
      <c r="J122" s="88" t="s">
        <v>24</v>
      </c>
      <c r="K122" s="92">
        <v>46205</v>
      </c>
      <c r="L122" s="92">
        <v>46234</v>
      </c>
      <c r="M122" s="6" t="s">
        <v>718</v>
      </c>
      <c r="N122" s="47"/>
      <c r="O122" s="47"/>
    </row>
    <row r="123" spans="1:15">
      <c r="A123" s="3">
        <v>662496</v>
      </c>
      <c r="B123" s="4">
        <v>28699</v>
      </c>
      <c r="C123" s="2">
        <v>7792798010059</v>
      </c>
      <c r="D123" s="1" t="s">
        <v>645</v>
      </c>
      <c r="E123" s="32">
        <v>3320</v>
      </c>
      <c r="F123" s="33">
        <v>1660</v>
      </c>
      <c r="G123" s="33">
        <v>-1660</v>
      </c>
      <c r="H123" s="28">
        <v>0.5</v>
      </c>
      <c r="I123" s="3" t="s">
        <v>15</v>
      </c>
      <c r="J123" s="3" t="s">
        <v>640</v>
      </c>
      <c r="K123" s="29">
        <v>46205</v>
      </c>
      <c r="L123" s="6">
        <v>46234</v>
      </c>
      <c r="M123" s="6" t="s">
        <v>718</v>
      </c>
      <c r="N123" s="47"/>
      <c r="O123" s="47"/>
    </row>
    <row r="124" spans="1:15">
      <c r="A124" s="3">
        <v>664332</v>
      </c>
      <c r="B124" s="4">
        <v>28318</v>
      </c>
      <c r="C124" s="2">
        <v>7792798013487</v>
      </c>
      <c r="D124" s="1" t="s">
        <v>644</v>
      </c>
      <c r="E124" s="32">
        <v>3320</v>
      </c>
      <c r="F124" s="33">
        <v>1660</v>
      </c>
      <c r="G124" s="33">
        <v>-1660</v>
      </c>
      <c r="H124" s="28">
        <v>0.5</v>
      </c>
      <c r="I124" s="3" t="s">
        <v>15</v>
      </c>
      <c r="J124" s="3" t="s">
        <v>640</v>
      </c>
      <c r="K124" s="29">
        <v>46205</v>
      </c>
      <c r="L124" s="6">
        <v>46234</v>
      </c>
      <c r="M124" s="6" t="s">
        <v>718</v>
      </c>
      <c r="N124" s="47"/>
      <c r="O124" s="47"/>
    </row>
    <row r="125" spans="1:15">
      <c r="A125" s="3">
        <v>2493</v>
      </c>
      <c r="B125" s="4">
        <v>24930</v>
      </c>
      <c r="C125" s="2">
        <v>7792798006045</v>
      </c>
      <c r="D125" s="1" t="s">
        <v>637</v>
      </c>
      <c r="E125" s="32">
        <v>3844.62</v>
      </c>
      <c r="F125" s="33">
        <v>2499.0030000000002</v>
      </c>
      <c r="G125" s="33">
        <v>-1345.6169999999997</v>
      </c>
      <c r="H125" s="28">
        <v>0.35</v>
      </c>
      <c r="I125" s="3" t="s">
        <v>18</v>
      </c>
      <c r="J125" s="3" t="s">
        <v>112</v>
      </c>
      <c r="K125" s="29">
        <v>46205</v>
      </c>
      <c r="L125" s="6">
        <v>46234</v>
      </c>
      <c r="M125" s="6" t="s">
        <v>718</v>
      </c>
      <c r="N125" s="47"/>
      <c r="O125" s="47"/>
    </row>
    <row r="126" spans="1:15">
      <c r="A126" s="3">
        <v>18452</v>
      </c>
      <c r="B126" s="4">
        <v>24877</v>
      </c>
      <c r="C126" s="2">
        <v>7792798001293</v>
      </c>
      <c r="D126" s="1" t="s">
        <v>635</v>
      </c>
      <c r="E126" s="32">
        <v>3785.71</v>
      </c>
      <c r="F126" s="33">
        <v>2649.9969999999998</v>
      </c>
      <c r="G126" s="33">
        <v>-1135.7130000000002</v>
      </c>
      <c r="H126" s="28">
        <v>0.3</v>
      </c>
      <c r="I126" s="3" t="s">
        <v>18</v>
      </c>
      <c r="J126" s="3" t="s">
        <v>94</v>
      </c>
      <c r="K126" s="29">
        <v>46205</v>
      </c>
      <c r="L126" s="6">
        <v>46234</v>
      </c>
      <c r="M126" s="6" t="s">
        <v>718</v>
      </c>
      <c r="N126" s="47"/>
      <c r="O126" s="47"/>
    </row>
    <row r="127" spans="1:15">
      <c r="A127" s="85">
        <v>879</v>
      </c>
      <c r="B127" s="86">
        <v>22594</v>
      </c>
      <c r="C127" s="87">
        <v>7795697612133</v>
      </c>
      <c r="D127" s="88" t="s">
        <v>1349</v>
      </c>
      <c r="E127" s="89">
        <v>3486.67</v>
      </c>
      <c r="F127" s="89">
        <f>+E127*0.75</f>
        <v>2615.0025000000001</v>
      </c>
      <c r="G127" s="90">
        <f>+F127-E127</f>
        <v>-871.66750000000002</v>
      </c>
      <c r="H127" s="91">
        <v>0.25</v>
      </c>
      <c r="I127" s="86" t="s">
        <v>18</v>
      </c>
      <c r="J127" s="88" t="s">
        <v>24</v>
      </c>
      <c r="K127" s="92">
        <v>46205</v>
      </c>
      <c r="L127" s="92">
        <v>46234</v>
      </c>
      <c r="M127" s="6" t="s">
        <v>718</v>
      </c>
      <c r="N127" s="47"/>
      <c r="O127" s="47"/>
    </row>
    <row r="128" spans="1:15">
      <c r="A128" s="144">
        <v>7611</v>
      </c>
      <c r="B128" s="138">
        <v>76099</v>
      </c>
      <c r="C128" s="144">
        <v>7793440002194</v>
      </c>
      <c r="D128" s="138" t="s">
        <v>914</v>
      </c>
      <c r="E128" s="142">
        <v>11538.79</v>
      </c>
      <c r="F128" s="142">
        <v>9807.9714999999997</v>
      </c>
      <c r="G128" s="143">
        <v>1730.8185000000012</v>
      </c>
      <c r="H128" s="149">
        <v>0.15</v>
      </c>
      <c r="I128" s="147" t="s">
        <v>18</v>
      </c>
      <c r="J128" s="147" t="s">
        <v>70</v>
      </c>
      <c r="K128" s="148">
        <v>46206</v>
      </c>
      <c r="L128" s="148">
        <v>46234</v>
      </c>
      <c r="M128" s="68" t="s">
        <v>736</v>
      </c>
    </row>
    <row r="129" spans="1:13">
      <c r="A129" s="87">
        <v>662570</v>
      </c>
      <c r="B129" s="88">
        <v>100333026</v>
      </c>
      <c r="C129" s="87">
        <v>7791728234589</v>
      </c>
      <c r="D129" s="88" t="s">
        <v>915</v>
      </c>
      <c r="E129" s="89">
        <v>14616</v>
      </c>
      <c r="F129" s="89">
        <v>12423.6</v>
      </c>
      <c r="G129" s="60">
        <v>2192.3999999999996</v>
      </c>
      <c r="H129" s="91">
        <v>0.15</v>
      </c>
      <c r="I129" s="86" t="s">
        <v>18</v>
      </c>
      <c r="J129" s="86" t="s">
        <v>70</v>
      </c>
      <c r="K129" s="137">
        <v>46178</v>
      </c>
      <c r="L129" s="137">
        <v>46234</v>
      </c>
      <c r="M129" s="68" t="s">
        <v>736</v>
      </c>
    </row>
    <row r="130" spans="1:13">
      <c r="A130" s="87">
        <v>662571</v>
      </c>
      <c r="B130" s="88">
        <v>100333019</v>
      </c>
      <c r="C130" s="87">
        <v>7791728234602</v>
      </c>
      <c r="D130" s="88" t="s">
        <v>916</v>
      </c>
      <c r="E130" s="89">
        <v>14616</v>
      </c>
      <c r="F130" s="89">
        <v>12423.6</v>
      </c>
      <c r="G130" s="60">
        <v>2192.3999999999996</v>
      </c>
      <c r="H130" s="91">
        <v>0.15</v>
      </c>
      <c r="I130" s="86" t="s">
        <v>18</v>
      </c>
      <c r="J130" s="86" t="s">
        <v>70</v>
      </c>
      <c r="K130" s="137">
        <v>46178</v>
      </c>
      <c r="L130" s="137">
        <v>46234</v>
      </c>
      <c r="M130" s="68" t="s">
        <v>736</v>
      </c>
    </row>
    <row r="131" spans="1:13">
      <c r="A131" s="87">
        <v>660093</v>
      </c>
      <c r="B131" s="88">
        <v>0</v>
      </c>
      <c r="C131" s="87">
        <v>7798126082903</v>
      </c>
      <c r="D131" s="88" t="s">
        <v>917</v>
      </c>
      <c r="E131" s="89">
        <v>40600.18</v>
      </c>
      <c r="F131" s="89">
        <v>34510.152999999998</v>
      </c>
      <c r="G131" s="60">
        <v>6090.0270000000019</v>
      </c>
      <c r="H131" s="91">
        <v>0.15</v>
      </c>
      <c r="I131" s="86" t="s">
        <v>18</v>
      </c>
      <c r="J131" s="86" t="s">
        <v>70</v>
      </c>
      <c r="K131" s="137">
        <v>46178</v>
      </c>
      <c r="L131" s="137">
        <v>46234</v>
      </c>
      <c r="M131" s="68" t="s">
        <v>736</v>
      </c>
    </row>
    <row r="132" spans="1:13">
      <c r="A132" s="87">
        <v>660092</v>
      </c>
      <c r="B132" s="88">
        <v>0</v>
      </c>
      <c r="C132" s="87">
        <v>7798126082675</v>
      </c>
      <c r="D132" s="88" t="s">
        <v>918</v>
      </c>
      <c r="E132" s="89">
        <v>36539.919999999998</v>
      </c>
      <c r="F132" s="89">
        <v>31058.931999999997</v>
      </c>
      <c r="G132" s="60">
        <v>5480.9880000000012</v>
      </c>
      <c r="H132" s="91">
        <v>0.15</v>
      </c>
      <c r="I132" s="86" t="s">
        <v>18</v>
      </c>
      <c r="J132" s="86" t="s">
        <v>70</v>
      </c>
      <c r="K132" s="137">
        <v>46178</v>
      </c>
      <c r="L132" s="137">
        <v>46234</v>
      </c>
      <c r="M132" s="68" t="s">
        <v>736</v>
      </c>
    </row>
    <row r="133" spans="1:13">
      <c r="A133" s="87">
        <v>662516</v>
      </c>
      <c r="B133" s="88" t="s">
        <v>919</v>
      </c>
      <c r="C133" s="87">
        <v>7798074863609</v>
      </c>
      <c r="D133" s="88" t="s">
        <v>920</v>
      </c>
      <c r="E133" s="89">
        <v>19966.509999999998</v>
      </c>
      <c r="F133" s="89">
        <v>16971.533499999998</v>
      </c>
      <c r="G133" s="60">
        <v>2994.9765000000007</v>
      </c>
      <c r="H133" s="91">
        <v>0.15</v>
      </c>
      <c r="I133" s="86" t="s">
        <v>18</v>
      </c>
      <c r="J133" s="86" t="s">
        <v>70</v>
      </c>
      <c r="K133" s="137">
        <v>46178</v>
      </c>
      <c r="L133" s="137">
        <v>46234</v>
      </c>
      <c r="M133" s="68" t="s">
        <v>736</v>
      </c>
    </row>
    <row r="134" spans="1:13">
      <c r="A134" s="87">
        <v>662260</v>
      </c>
      <c r="B134" s="88" t="s">
        <v>921</v>
      </c>
      <c r="C134" s="87">
        <v>7798074864071</v>
      </c>
      <c r="D134" s="88" t="s">
        <v>922</v>
      </c>
      <c r="E134" s="89">
        <v>20706</v>
      </c>
      <c r="F134" s="89">
        <v>17600.099999999999</v>
      </c>
      <c r="G134" s="60">
        <v>3105.9000000000015</v>
      </c>
      <c r="H134" s="91">
        <v>0.15</v>
      </c>
      <c r="I134" s="86" t="s">
        <v>18</v>
      </c>
      <c r="J134" s="86" t="s">
        <v>70</v>
      </c>
      <c r="K134" s="137">
        <v>46178</v>
      </c>
      <c r="L134" s="137">
        <v>46234</v>
      </c>
      <c r="M134" s="68" t="s">
        <v>736</v>
      </c>
    </row>
    <row r="135" spans="1:13">
      <c r="A135" s="87">
        <v>666116</v>
      </c>
      <c r="B135" s="88">
        <v>0</v>
      </c>
      <c r="C135" s="87">
        <v>7798126082927</v>
      </c>
      <c r="D135" s="88" t="s">
        <v>923</v>
      </c>
      <c r="E135" s="89">
        <v>16182.11</v>
      </c>
      <c r="F135" s="89">
        <v>13754.7935</v>
      </c>
      <c r="G135" s="60">
        <v>2427.3165000000008</v>
      </c>
      <c r="H135" s="91">
        <v>0.15</v>
      </c>
      <c r="I135" s="86" t="s">
        <v>18</v>
      </c>
      <c r="J135" s="86" t="s">
        <v>70</v>
      </c>
      <c r="K135" s="137">
        <v>46178</v>
      </c>
      <c r="L135" s="137">
        <v>46234</v>
      </c>
      <c r="M135" s="68" t="s">
        <v>736</v>
      </c>
    </row>
    <row r="136" spans="1:13">
      <c r="A136" s="87">
        <v>13506</v>
      </c>
      <c r="B136" s="88">
        <v>7790703002397</v>
      </c>
      <c r="C136" s="87">
        <v>7790703165238</v>
      </c>
      <c r="D136" s="88" t="s">
        <v>1207</v>
      </c>
      <c r="E136" s="89">
        <v>8307.2950000000001</v>
      </c>
      <c r="F136" s="89">
        <v>6230.4712500000005</v>
      </c>
      <c r="G136" s="60">
        <v>2076.8237499999996</v>
      </c>
      <c r="H136" s="91">
        <v>0.25</v>
      </c>
      <c r="I136" s="86" t="s">
        <v>18</v>
      </c>
      <c r="J136" s="86" t="s">
        <v>24</v>
      </c>
      <c r="K136" s="137">
        <v>46178</v>
      </c>
      <c r="L136" s="137">
        <v>46234</v>
      </c>
      <c r="M136" s="68" t="s">
        <v>736</v>
      </c>
    </row>
    <row r="137" spans="1:13">
      <c r="A137" s="87">
        <v>659909</v>
      </c>
      <c r="B137" s="88">
        <v>7790703200588</v>
      </c>
      <c r="C137" s="87">
        <v>7790703168345</v>
      </c>
      <c r="D137" s="88" t="s">
        <v>1208</v>
      </c>
      <c r="E137" s="89">
        <v>14376.09</v>
      </c>
      <c r="F137" s="89">
        <v>10782.067500000001</v>
      </c>
      <c r="G137" s="60">
        <v>3594.0224999999991</v>
      </c>
      <c r="H137" s="91">
        <v>0.25</v>
      </c>
      <c r="I137" s="86" t="s">
        <v>18</v>
      </c>
      <c r="J137" s="86" t="s">
        <v>24</v>
      </c>
      <c r="K137" s="137">
        <v>46178</v>
      </c>
      <c r="L137" s="137">
        <v>46234</v>
      </c>
      <c r="M137" s="68" t="s">
        <v>736</v>
      </c>
    </row>
    <row r="138" spans="1:13">
      <c r="A138" s="87">
        <v>11411</v>
      </c>
      <c r="B138" s="88" t="s">
        <v>1013</v>
      </c>
      <c r="C138" s="87">
        <v>7798108839518</v>
      </c>
      <c r="D138" s="88" t="s">
        <v>1014</v>
      </c>
      <c r="E138" s="89">
        <v>6507.5990000000002</v>
      </c>
      <c r="F138" s="89">
        <v>5206.0792000000001</v>
      </c>
      <c r="G138" s="60">
        <v>1301.5198</v>
      </c>
      <c r="H138" s="91">
        <v>0.2</v>
      </c>
      <c r="I138" s="86" t="s">
        <v>18</v>
      </c>
      <c r="J138" s="86" t="s">
        <v>75</v>
      </c>
      <c r="K138" s="137">
        <v>46178</v>
      </c>
      <c r="L138" s="137">
        <v>46234</v>
      </c>
      <c r="M138" s="68" t="s">
        <v>736</v>
      </c>
    </row>
    <row r="139" spans="1:13">
      <c r="A139" s="87">
        <v>9800</v>
      </c>
      <c r="B139" s="88" t="s">
        <v>1015</v>
      </c>
      <c r="C139" s="87">
        <v>7798108839778</v>
      </c>
      <c r="D139" s="88" t="s">
        <v>1016</v>
      </c>
      <c r="E139" s="89">
        <v>6507.5990000000002</v>
      </c>
      <c r="F139" s="89">
        <v>5206.0792000000001</v>
      </c>
      <c r="G139" s="60">
        <v>1301.5198</v>
      </c>
      <c r="H139" s="91">
        <v>0.2</v>
      </c>
      <c r="I139" s="86" t="s">
        <v>18</v>
      </c>
      <c r="J139" s="86" t="s">
        <v>75</v>
      </c>
      <c r="K139" s="137">
        <v>46178</v>
      </c>
      <c r="L139" s="137">
        <v>46234</v>
      </c>
      <c r="M139" s="68" t="s">
        <v>736</v>
      </c>
    </row>
    <row r="140" spans="1:13">
      <c r="A140" s="87">
        <v>5581</v>
      </c>
      <c r="B140" s="88">
        <v>22455</v>
      </c>
      <c r="C140" s="87">
        <v>7790717153467</v>
      </c>
      <c r="D140" s="88" t="s">
        <v>1209</v>
      </c>
      <c r="E140" s="89">
        <v>7553.8519999999999</v>
      </c>
      <c r="F140" s="89">
        <v>5665.3890000000001</v>
      </c>
      <c r="G140" s="60">
        <v>1888.4629999999997</v>
      </c>
      <c r="H140" s="91">
        <v>0.25</v>
      </c>
      <c r="I140" s="86" t="s">
        <v>18</v>
      </c>
      <c r="J140" s="86" t="s">
        <v>24</v>
      </c>
      <c r="K140" s="137">
        <v>46178</v>
      </c>
      <c r="L140" s="137">
        <v>46234</v>
      </c>
      <c r="M140" s="68" t="s">
        <v>736</v>
      </c>
    </row>
    <row r="141" spans="1:13">
      <c r="A141" s="87">
        <v>14068</v>
      </c>
      <c r="B141" s="88" t="s">
        <v>924</v>
      </c>
      <c r="C141" s="87">
        <v>7798111990497</v>
      </c>
      <c r="D141" s="88" t="s">
        <v>925</v>
      </c>
      <c r="E141" s="89">
        <v>19574.96</v>
      </c>
      <c r="F141" s="89">
        <v>16638.716</v>
      </c>
      <c r="G141" s="60">
        <v>2936.2439999999988</v>
      </c>
      <c r="H141" s="91">
        <v>0.15</v>
      </c>
      <c r="I141" s="86" t="s">
        <v>18</v>
      </c>
      <c r="J141" s="86" t="s">
        <v>70</v>
      </c>
      <c r="K141" s="137">
        <v>46178</v>
      </c>
      <c r="L141" s="137">
        <v>46234</v>
      </c>
      <c r="M141" s="68" t="s">
        <v>736</v>
      </c>
    </row>
    <row r="142" spans="1:13">
      <c r="A142" s="87">
        <v>4887</v>
      </c>
      <c r="B142" s="88">
        <v>5262</v>
      </c>
      <c r="C142" s="87">
        <v>7798116191691</v>
      </c>
      <c r="D142" s="88" t="s">
        <v>926</v>
      </c>
      <c r="E142" s="89">
        <v>9725.1229999999996</v>
      </c>
      <c r="F142" s="89">
        <v>8266.35455</v>
      </c>
      <c r="G142" s="60">
        <v>1458.7684499999996</v>
      </c>
      <c r="H142" s="91">
        <v>0.15</v>
      </c>
      <c r="I142" s="86" t="s">
        <v>18</v>
      </c>
      <c r="J142" s="86" t="s">
        <v>70</v>
      </c>
      <c r="K142" s="137">
        <v>46178</v>
      </c>
      <c r="L142" s="137">
        <v>46234</v>
      </c>
      <c r="M142" s="68" t="s">
        <v>736</v>
      </c>
    </row>
    <row r="143" spans="1:13">
      <c r="A143" s="87">
        <v>13034</v>
      </c>
      <c r="B143" s="88">
        <v>33608</v>
      </c>
      <c r="C143" s="87">
        <v>7790314005145</v>
      </c>
      <c r="D143" s="88" t="s">
        <v>927</v>
      </c>
      <c r="E143" s="89">
        <v>5507.2169999999996</v>
      </c>
      <c r="F143" s="89">
        <v>4681.1344499999996</v>
      </c>
      <c r="G143" s="60">
        <v>826.08255000000008</v>
      </c>
      <c r="H143" s="91">
        <v>0.15</v>
      </c>
      <c r="I143" s="86" t="s">
        <v>18</v>
      </c>
      <c r="J143" s="86" t="s">
        <v>70</v>
      </c>
      <c r="K143" s="137">
        <v>46178</v>
      </c>
      <c r="L143" s="137">
        <v>46234</v>
      </c>
      <c r="M143" s="68" t="s">
        <v>736</v>
      </c>
    </row>
    <row r="144" spans="1:13">
      <c r="A144" s="87">
        <v>665584</v>
      </c>
      <c r="B144" s="88">
        <v>46342</v>
      </c>
      <c r="C144" s="87">
        <v>7790577043557</v>
      </c>
      <c r="D144" s="88" t="s">
        <v>928</v>
      </c>
      <c r="E144" s="89">
        <v>38642.49</v>
      </c>
      <c r="F144" s="89">
        <v>32846.116499999996</v>
      </c>
      <c r="G144" s="60">
        <v>5796.3735000000015</v>
      </c>
      <c r="H144" s="91">
        <v>0.15</v>
      </c>
      <c r="I144" s="86" t="s">
        <v>18</v>
      </c>
      <c r="J144" s="86" t="s">
        <v>70</v>
      </c>
      <c r="K144" s="137">
        <v>46178</v>
      </c>
      <c r="L144" s="137">
        <v>46234</v>
      </c>
      <c r="M144" s="68" t="s">
        <v>736</v>
      </c>
    </row>
    <row r="145" spans="1:13">
      <c r="A145" s="144">
        <v>18724</v>
      </c>
      <c r="B145" s="138">
        <v>76100</v>
      </c>
      <c r="C145" s="144">
        <v>7793440002446</v>
      </c>
      <c r="D145" s="138" t="s">
        <v>929</v>
      </c>
      <c r="E145" s="142">
        <v>11538.79</v>
      </c>
      <c r="F145" s="142">
        <v>9807.9714999999997</v>
      </c>
      <c r="G145" s="143">
        <v>1730.8185000000012</v>
      </c>
      <c r="H145" s="149">
        <v>0.15</v>
      </c>
      <c r="I145" s="147" t="s">
        <v>18</v>
      </c>
      <c r="J145" s="147" t="s">
        <v>70</v>
      </c>
      <c r="K145" s="148">
        <v>46206</v>
      </c>
      <c r="L145" s="148">
        <v>46234</v>
      </c>
      <c r="M145" s="68" t="s">
        <v>736</v>
      </c>
    </row>
    <row r="146" spans="1:13">
      <c r="A146" s="87">
        <v>5332</v>
      </c>
      <c r="B146" s="88">
        <v>70323</v>
      </c>
      <c r="C146" s="87">
        <v>7795933732601</v>
      </c>
      <c r="D146" s="88" t="s">
        <v>930</v>
      </c>
      <c r="E146" s="89">
        <v>12177.39</v>
      </c>
      <c r="F146" s="89">
        <v>10350.781499999999</v>
      </c>
      <c r="G146" s="60">
        <v>1826.6085000000003</v>
      </c>
      <c r="H146" s="91">
        <v>0.15</v>
      </c>
      <c r="I146" s="86" t="s">
        <v>18</v>
      </c>
      <c r="J146" s="86" t="s">
        <v>70</v>
      </c>
      <c r="K146" s="137">
        <v>46178</v>
      </c>
      <c r="L146" s="137">
        <v>46234</v>
      </c>
      <c r="M146" s="68" t="s">
        <v>736</v>
      </c>
    </row>
    <row r="147" spans="1:13">
      <c r="A147" s="144">
        <v>664185</v>
      </c>
      <c r="B147" s="138" t="s">
        <v>931</v>
      </c>
      <c r="C147" s="144">
        <v>7792319972576</v>
      </c>
      <c r="D147" s="138" t="s">
        <v>932</v>
      </c>
      <c r="E147" s="142">
        <v>6739.63</v>
      </c>
      <c r="F147" s="142">
        <v>5728.6854999999996</v>
      </c>
      <c r="G147" s="143">
        <v>1010.9445000000005</v>
      </c>
      <c r="H147" s="149">
        <v>0.15</v>
      </c>
      <c r="I147" s="147" t="s">
        <v>18</v>
      </c>
      <c r="J147" s="147" t="s">
        <v>70</v>
      </c>
      <c r="K147" s="148">
        <v>46206</v>
      </c>
      <c r="L147" s="148">
        <v>46234</v>
      </c>
      <c r="M147" s="68" t="s">
        <v>736</v>
      </c>
    </row>
    <row r="148" spans="1:13">
      <c r="A148" s="144">
        <v>664184</v>
      </c>
      <c r="B148" s="138" t="s">
        <v>933</v>
      </c>
      <c r="C148" s="144">
        <v>7792319972521</v>
      </c>
      <c r="D148" s="138" t="s">
        <v>934</v>
      </c>
      <c r="E148" s="142">
        <v>6739.63</v>
      </c>
      <c r="F148" s="142">
        <v>5728.6854999999996</v>
      </c>
      <c r="G148" s="143">
        <v>1010.9445000000005</v>
      </c>
      <c r="H148" s="149">
        <v>0.15</v>
      </c>
      <c r="I148" s="147" t="s">
        <v>18</v>
      </c>
      <c r="J148" s="147" t="s">
        <v>70</v>
      </c>
      <c r="K148" s="148">
        <v>46206</v>
      </c>
      <c r="L148" s="148">
        <v>46234</v>
      </c>
      <c r="M148" s="68" t="s">
        <v>736</v>
      </c>
    </row>
    <row r="149" spans="1:13">
      <c r="A149" s="87">
        <v>666267</v>
      </c>
      <c r="B149" s="88" t="s">
        <v>935</v>
      </c>
      <c r="C149" s="87">
        <v>7791843024348</v>
      </c>
      <c r="D149" s="88" t="s">
        <v>936</v>
      </c>
      <c r="E149" s="89">
        <v>35798.82</v>
      </c>
      <c r="F149" s="89">
        <v>30428.996999999999</v>
      </c>
      <c r="G149" s="60">
        <v>5369.8230000000003</v>
      </c>
      <c r="H149" s="91">
        <v>0.15</v>
      </c>
      <c r="I149" s="86" t="s">
        <v>18</v>
      </c>
      <c r="J149" s="86" t="s">
        <v>70</v>
      </c>
      <c r="K149" s="137">
        <v>46178</v>
      </c>
      <c r="L149" s="137">
        <v>46234</v>
      </c>
      <c r="M149" s="68" t="s">
        <v>736</v>
      </c>
    </row>
    <row r="150" spans="1:13">
      <c r="A150" s="159">
        <v>9486</v>
      </c>
      <c r="B150" s="144">
        <v>142645154</v>
      </c>
      <c r="C150" s="144">
        <v>7791203001453</v>
      </c>
      <c r="D150" s="138" t="s">
        <v>1302</v>
      </c>
      <c r="E150" s="142">
        <v>26230.5</v>
      </c>
      <c r="F150" s="142">
        <v>23607.45</v>
      </c>
      <c r="G150" s="143">
        <v>-2623.0499999999993</v>
      </c>
      <c r="H150" s="151">
        <v>0.15</v>
      </c>
      <c r="I150" s="147" t="s">
        <v>18</v>
      </c>
      <c r="J150" s="147" t="s">
        <v>70</v>
      </c>
      <c r="K150" s="148">
        <v>46206</v>
      </c>
      <c r="L150" s="148">
        <v>46234</v>
      </c>
      <c r="M150" s="166" t="s">
        <v>736</v>
      </c>
    </row>
    <row r="151" spans="1:13">
      <c r="A151" s="159">
        <v>660044</v>
      </c>
      <c r="B151" s="144">
        <v>122145144</v>
      </c>
      <c r="C151" s="144">
        <v>7791203000838</v>
      </c>
      <c r="D151" s="138" t="s">
        <v>1303</v>
      </c>
      <c r="E151" s="142">
        <v>46327.51</v>
      </c>
      <c r="F151" s="142">
        <v>41694.759000000005</v>
      </c>
      <c r="G151" s="143">
        <v>-4632.7509999999966</v>
      </c>
      <c r="H151" s="151">
        <v>0.15</v>
      </c>
      <c r="I151" s="147" t="s">
        <v>18</v>
      </c>
      <c r="J151" s="147" t="s">
        <v>70</v>
      </c>
      <c r="K151" s="148">
        <v>46206</v>
      </c>
      <c r="L151" s="148">
        <v>46234</v>
      </c>
      <c r="M151" s="166" t="s">
        <v>736</v>
      </c>
    </row>
    <row r="152" spans="1:13">
      <c r="A152" s="87">
        <v>662577</v>
      </c>
      <c r="B152" s="88">
        <v>100177428</v>
      </c>
      <c r="C152" s="87">
        <v>7791728242935</v>
      </c>
      <c r="D152" s="88" t="s">
        <v>937</v>
      </c>
      <c r="E152" s="89">
        <v>18705.009999999998</v>
      </c>
      <c r="F152" s="89">
        <v>15899.258499999998</v>
      </c>
      <c r="G152" s="60">
        <v>2805.7515000000003</v>
      </c>
      <c r="H152" s="91">
        <v>0.15</v>
      </c>
      <c r="I152" s="86" t="s">
        <v>18</v>
      </c>
      <c r="J152" s="86" t="s">
        <v>70</v>
      </c>
      <c r="K152" s="137">
        <v>46178</v>
      </c>
      <c r="L152" s="137">
        <v>46234</v>
      </c>
      <c r="M152" s="68" t="s">
        <v>736</v>
      </c>
    </row>
    <row r="153" spans="1:13">
      <c r="A153" s="87">
        <v>663619</v>
      </c>
      <c r="B153" s="88">
        <v>2853054</v>
      </c>
      <c r="C153" s="87">
        <v>7798353194264</v>
      </c>
      <c r="D153" s="88" t="s">
        <v>938</v>
      </c>
      <c r="E153" s="89">
        <v>10512.51</v>
      </c>
      <c r="F153" s="89">
        <v>8935.6334999999999</v>
      </c>
      <c r="G153" s="60">
        <v>1576.8765000000003</v>
      </c>
      <c r="H153" s="91">
        <v>0.15</v>
      </c>
      <c r="I153" s="86" t="s">
        <v>18</v>
      </c>
      <c r="J153" s="86" t="s">
        <v>70</v>
      </c>
      <c r="K153" s="137">
        <v>46178</v>
      </c>
      <c r="L153" s="137">
        <v>46234</v>
      </c>
      <c r="M153" s="68" t="s">
        <v>736</v>
      </c>
    </row>
    <row r="154" spans="1:13">
      <c r="A154" s="87">
        <v>659941</v>
      </c>
      <c r="B154" s="88" t="s">
        <v>939</v>
      </c>
      <c r="C154" s="87">
        <v>7798078235082</v>
      </c>
      <c r="D154" s="88" t="s">
        <v>940</v>
      </c>
      <c r="E154" s="89">
        <v>23400</v>
      </c>
      <c r="F154" s="89">
        <v>19890</v>
      </c>
      <c r="G154" s="60">
        <v>3510</v>
      </c>
      <c r="H154" s="91">
        <v>0.15</v>
      </c>
      <c r="I154" s="86" t="s">
        <v>18</v>
      </c>
      <c r="J154" s="86" t="s">
        <v>70</v>
      </c>
      <c r="K154" s="137">
        <v>46178</v>
      </c>
      <c r="L154" s="137">
        <v>46234</v>
      </c>
      <c r="M154" s="68" t="s">
        <v>736</v>
      </c>
    </row>
    <row r="155" spans="1:13">
      <c r="A155" s="87">
        <v>660548</v>
      </c>
      <c r="B155" s="88">
        <v>0</v>
      </c>
      <c r="C155" s="87">
        <v>7798159949327</v>
      </c>
      <c r="D155" s="88" t="s">
        <v>941</v>
      </c>
      <c r="E155" s="89">
        <v>15080</v>
      </c>
      <c r="F155" s="89">
        <v>12818</v>
      </c>
      <c r="G155" s="60">
        <v>2262</v>
      </c>
      <c r="H155" s="91">
        <v>0.15</v>
      </c>
      <c r="I155" s="86" t="s">
        <v>18</v>
      </c>
      <c r="J155" s="86" t="s">
        <v>70</v>
      </c>
      <c r="K155" s="137">
        <v>46178</v>
      </c>
      <c r="L155" s="137">
        <v>46234</v>
      </c>
      <c r="M155" s="68" t="s">
        <v>736</v>
      </c>
    </row>
    <row r="156" spans="1:13">
      <c r="A156" s="87">
        <v>3344</v>
      </c>
      <c r="B156" s="88">
        <v>10929</v>
      </c>
      <c r="C156" s="87">
        <v>7791560674079</v>
      </c>
      <c r="D156" s="88" t="s">
        <v>942</v>
      </c>
      <c r="E156" s="89">
        <v>11894.67</v>
      </c>
      <c r="F156" s="89">
        <v>10110.469499999999</v>
      </c>
      <c r="G156" s="60">
        <v>1784.2005000000008</v>
      </c>
      <c r="H156" s="91">
        <v>0.15</v>
      </c>
      <c r="I156" s="86" t="s">
        <v>18</v>
      </c>
      <c r="J156" s="86" t="s">
        <v>70</v>
      </c>
      <c r="K156" s="137">
        <v>46178</v>
      </c>
      <c r="L156" s="137">
        <v>46234</v>
      </c>
      <c r="M156" s="68" t="s">
        <v>736</v>
      </c>
    </row>
    <row r="157" spans="1:13">
      <c r="A157" s="87">
        <v>2125</v>
      </c>
      <c r="B157" s="88">
        <v>13986</v>
      </c>
      <c r="C157" s="87">
        <v>7791560632833</v>
      </c>
      <c r="D157" s="88" t="s">
        <v>943</v>
      </c>
      <c r="E157" s="89">
        <v>11894.67</v>
      </c>
      <c r="F157" s="89">
        <v>10110.469499999999</v>
      </c>
      <c r="G157" s="60">
        <v>1784.2005000000008</v>
      </c>
      <c r="H157" s="91">
        <v>0.15</v>
      </c>
      <c r="I157" s="86" t="s">
        <v>18</v>
      </c>
      <c r="J157" s="86" t="s">
        <v>70</v>
      </c>
      <c r="K157" s="137">
        <v>46178</v>
      </c>
      <c r="L157" s="137">
        <v>46234</v>
      </c>
      <c r="M157" s="68" t="s">
        <v>736</v>
      </c>
    </row>
    <row r="158" spans="1:13">
      <c r="A158" s="87">
        <v>3343</v>
      </c>
      <c r="B158" s="88">
        <v>14801</v>
      </c>
      <c r="C158" s="87">
        <v>7791560640128</v>
      </c>
      <c r="D158" s="88" t="s">
        <v>944</v>
      </c>
      <c r="E158" s="89">
        <v>11894.67</v>
      </c>
      <c r="F158" s="89">
        <v>10110.469499999999</v>
      </c>
      <c r="G158" s="60">
        <v>1784.2005000000008</v>
      </c>
      <c r="H158" s="91">
        <v>0.15</v>
      </c>
      <c r="I158" s="86" t="s">
        <v>18</v>
      </c>
      <c r="J158" s="86" t="s">
        <v>70</v>
      </c>
      <c r="K158" s="137">
        <v>46178</v>
      </c>
      <c r="L158" s="137">
        <v>46234</v>
      </c>
      <c r="M158" s="68" t="s">
        <v>736</v>
      </c>
    </row>
    <row r="159" spans="1:13">
      <c r="A159" s="87">
        <v>6626</v>
      </c>
      <c r="B159" s="88">
        <v>10928</v>
      </c>
      <c r="C159" s="87">
        <v>7791580674086</v>
      </c>
      <c r="D159" s="88" t="s">
        <v>945</v>
      </c>
      <c r="E159" s="89">
        <v>11894.67</v>
      </c>
      <c r="F159" s="89">
        <v>10110.469499999999</v>
      </c>
      <c r="G159" s="60">
        <v>1784.2005000000008</v>
      </c>
      <c r="H159" s="91">
        <v>0.15</v>
      </c>
      <c r="I159" s="86" t="s">
        <v>18</v>
      </c>
      <c r="J159" s="86" t="s">
        <v>70</v>
      </c>
      <c r="K159" s="137">
        <v>46178</v>
      </c>
      <c r="L159" s="137">
        <v>46234</v>
      </c>
      <c r="M159" s="68" t="s">
        <v>736</v>
      </c>
    </row>
    <row r="160" spans="1:13">
      <c r="A160" s="87">
        <v>7996</v>
      </c>
      <c r="B160" s="88">
        <v>51259</v>
      </c>
      <c r="C160" s="87">
        <v>7791560512593</v>
      </c>
      <c r="D160" s="88" t="s">
        <v>946</v>
      </c>
      <c r="E160" s="89">
        <v>11894.63</v>
      </c>
      <c r="F160" s="89">
        <v>10110.4355</v>
      </c>
      <c r="G160" s="60">
        <v>1784.1944999999996</v>
      </c>
      <c r="H160" s="91">
        <v>0.15</v>
      </c>
      <c r="I160" s="86" t="s">
        <v>18</v>
      </c>
      <c r="J160" s="86" t="s">
        <v>70</v>
      </c>
      <c r="K160" s="137">
        <v>46178</v>
      </c>
      <c r="L160" s="137">
        <v>46234</v>
      </c>
      <c r="M160" s="68" t="s">
        <v>736</v>
      </c>
    </row>
    <row r="161" spans="1:13">
      <c r="A161" s="87">
        <v>659594</v>
      </c>
      <c r="B161" s="88">
        <v>52039</v>
      </c>
      <c r="C161" s="87">
        <v>7791560520390</v>
      </c>
      <c r="D161" s="88" t="s">
        <v>947</v>
      </c>
      <c r="E161" s="89">
        <v>11894.63</v>
      </c>
      <c r="F161" s="89">
        <v>10110.4355</v>
      </c>
      <c r="G161" s="60">
        <v>1784.1944999999996</v>
      </c>
      <c r="H161" s="91">
        <v>0.15</v>
      </c>
      <c r="I161" s="86" t="s">
        <v>18</v>
      </c>
      <c r="J161" s="86" t="s">
        <v>70</v>
      </c>
      <c r="K161" s="137">
        <v>46178</v>
      </c>
      <c r="L161" s="137">
        <v>46234</v>
      </c>
      <c r="M161" s="68" t="s">
        <v>736</v>
      </c>
    </row>
    <row r="162" spans="1:13">
      <c r="A162" s="144">
        <v>10841</v>
      </c>
      <c r="B162" s="138">
        <v>76102</v>
      </c>
      <c r="C162" s="144">
        <v>7793440700946</v>
      </c>
      <c r="D162" s="138" t="s">
        <v>948</v>
      </c>
      <c r="E162" s="142">
        <v>15385.04</v>
      </c>
      <c r="F162" s="142">
        <v>13077.284</v>
      </c>
      <c r="G162" s="143">
        <v>2307.7560000000012</v>
      </c>
      <c r="H162" s="149">
        <v>0.15</v>
      </c>
      <c r="I162" s="147" t="s">
        <v>18</v>
      </c>
      <c r="J162" s="147" t="s">
        <v>70</v>
      </c>
      <c r="K162" s="148">
        <v>46206</v>
      </c>
      <c r="L162" s="148">
        <v>46234</v>
      </c>
      <c r="M162" s="68" t="s">
        <v>736</v>
      </c>
    </row>
    <row r="163" spans="1:13">
      <c r="A163" s="144">
        <v>17684</v>
      </c>
      <c r="B163" s="138">
        <v>76104</v>
      </c>
      <c r="C163" s="144">
        <v>7793440003061</v>
      </c>
      <c r="D163" s="138" t="s">
        <v>949</v>
      </c>
      <c r="E163" s="142">
        <v>14932.53</v>
      </c>
      <c r="F163" s="142">
        <v>12692.6505</v>
      </c>
      <c r="G163" s="143">
        <v>2239.8795000000009</v>
      </c>
      <c r="H163" s="149">
        <v>0.15</v>
      </c>
      <c r="I163" s="147" t="s">
        <v>18</v>
      </c>
      <c r="J163" s="147" t="s">
        <v>70</v>
      </c>
      <c r="K163" s="148">
        <v>46206</v>
      </c>
      <c r="L163" s="148">
        <v>46234</v>
      </c>
      <c r="M163" s="68" t="s">
        <v>736</v>
      </c>
    </row>
    <row r="164" spans="1:13">
      <c r="A164" s="87">
        <v>661751</v>
      </c>
      <c r="B164" s="88">
        <v>25774</v>
      </c>
      <c r="C164" s="87">
        <v>7790717153948</v>
      </c>
      <c r="D164" s="88" t="s">
        <v>950</v>
      </c>
      <c r="E164" s="89">
        <v>7481.23</v>
      </c>
      <c r="F164" s="89">
        <v>6359.0454999999993</v>
      </c>
      <c r="G164" s="60">
        <v>1122.1845000000003</v>
      </c>
      <c r="H164" s="91">
        <v>0.15</v>
      </c>
      <c r="I164" s="86" t="s">
        <v>18</v>
      </c>
      <c r="J164" s="86" t="s">
        <v>70</v>
      </c>
      <c r="K164" s="137">
        <v>46178</v>
      </c>
      <c r="L164" s="137">
        <v>46234</v>
      </c>
      <c r="M164" s="68" t="s">
        <v>736</v>
      </c>
    </row>
    <row r="165" spans="1:13">
      <c r="A165" s="144">
        <v>8300</v>
      </c>
      <c r="B165" s="138" t="s">
        <v>951</v>
      </c>
      <c r="C165" s="144">
        <v>7792319000231</v>
      </c>
      <c r="D165" s="138" t="s">
        <v>952</v>
      </c>
      <c r="E165" s="142">
        <v>12873.12</v>
      </c>
      <c r="F165" s="142">
        <v>10942.152</v>
      </c>
      <c r="G165" s="143">
        <v>1930.9680000000008</v>
      </c>
      <c r="H165" s="149">
        <v>0.15</v>
      </c>
      <c r="I165" s="147" t="s">
        <v>18</v>
      </c>
      <c r="J165" s="147" t="s">
        <v>70</v>
      </c>
      <c r="K165" s="148">
        <v>46206</v>
      </c>
      <c r="L165" s="148">
        <v>46234</v>
      </c>
      <c r="M165" s="68" t="s">
        <v>736</v>
      </c>
    </row>
    <row r="166" spans="1:13">
      <c r="A166" s="144">
        <v>8104</v>
      </c>
      <c r="B166" s="138" t="s">
        <v>953</v>
      </c>
      <c r="C166" s="144">
        <v>7792319675781</v>
      </c>
      <c r="D166" s="138" t="s">
        <v>954</v>
      </c>
      <c r="E166" s="142">
        <v>7001.24</v>
      </c>
      <c r="F166" s="142">
        <v>5951.0540000000001</v>
      </c>
      <c r="G166" s="143">
        <v>1050.1859999999997</v>
      </c>
      <c r="H166" s="149">
        <v>0.15</v>
      </c>
      <c r="I166" s="147" t="s">
        <v>18</v>
      </c>
      <c r="J166" s="147" t="s">
        <v>70</v>
      </c>
      <c r="K166" s="148">
        <v>46206</v>
      </c>
      <c r="L166" s="148">
        <v>46234</v>
      </c>
      <c r="M166" s="68" t="s">
        <v>736</v>
      </c>
    </row>
    <row r="167" spans="1:13">
      <c r="A167" s="87">
        <v>660177</v>
      </c>
      <c r="B167" s="88">
        <v>1903</v>
      </c>
      <c r="C167" s="87">
        <v>7798123971903</v>
      </c>
      <c r="D167" s="88" t="s">
        <v>955</v>
      </c>
      <c r="E167" s="89">
        <v>10750.38</v>
      </c>
      <c r="F167" s="89">
        <v>9137.8229999999985</v>
      </c>
      <c r="G167" s="60">
        <v>1612.5570000000007</v>
      </c>
      <c r="H167" s="91">
        <v>0.15</v>
      </c>
      <c r="I167" s="86" t="s">
        <v>18</v>
      </c>
      <c r="J167" s="86" t="s">
        <v>70</v>
      </c>
      <c r="K167" s="137">
        <v>46178</v>
      </c>
      <c r="L167" s="137">
        <v>46234</v>
      </c>
      <c r="M167" s="68" t="s">
        <v>736</v>
      </c>
    </row>
    <row r="168" spans="1:13">
      <c r="A168" s="87">
        <v>14794</v>
      </c>
      <c r="B168" s="88" t="s">
        <v>956</v>
      </c>
      <c r="C168" s="87">
        <v>7798111990046</v>
      </c>
      <c r="D168" s="88" t="s">
        <v>957</v>
      </c>
      <c r="E168" s="89">
        <v>29145.05</v>
      </c>
      <c r="F168" s="89">
        <v>24773.2925</v>
      </c>
      <c r="G168" s="60">
        <v>4371.7574999999997</v>
      </c>
      <c r="H168" s="91">
        <v>0.15</v>
      </c>
      <c r="I168" s="86" t="s">
        <v>18</v>
      </c>
      <c r="J168" s="86" t="s">
        <v>70</v>
      </c>
      <c r="K168" s="137">
        <v>46178</v>
      </c>
      <c r="L168" s="137">
        <v>46234</v>
      </c>
      <c r="M168" s="68" t="s">
        <v>736</v>
      </c>
    </row>
    <row r="169" spans="1:13">
      <c r="A169" s="87">
        <v>660078</v>
      </c>
      <c r="B169" s="88" t="s">
        <v>958</v>
      </c>
      <c r="C169" s="87">
        <v>7798111990831</v>
      </c>
      <c r="D169" s="88" t="s">
        <v>959</v>
      </c>
      <c r="E169" s="89">
        <v>32624.93</v>
      </c>
      <c r="F169" s="89">
        <v>27731.190500000001</v>
      </c>
      <c r="G169" s="60">
        <v>4893.7394999999997</v>
      </c>
      <c r="H169" s="91">
        <v>0.15</v>
      </c>
      <c r="I169" s="86" t="s">
        <v>18</v>
      </c>
      <c r="J169" s="86" t="s">
        <v>70</v>
      </c>
      <c r="K169" s="137">
        <v>46178</v>
      </c>
      <c r="L169" s="137">
        <v>46234</v>
      </c>
      <c r="M169" s="68" t="s">
        <v>736</v>
      </c>
    </row>
    <row r="170" spans="1:13">
      <c r="A170" s="87">
        <v>666469</v>
      </c>
      <c r="B170" s="88" t="s">
        <v>960</v>
      </c>
      <c r="C170" s="87">
        <v>7798111990428</v>
      </c>
      <c r="D170" s="88" t="s">
        <v>961</v>
      </c>
      <c r="E170" s="89">
        <v>32624.86</v>
      </c>
      <c r="F170" s="89">
        <v>27731.131000000001</v>
      </c>
      <c r="G170" s="60">
        <v>4893.7289999999994</v>
      </c>
      <c r="H170" s="91">
        <v>0.15</v>
      </c>
      <c r="I170" s="86" t="s">
        <v>18</v>
      </c>
      <c r="J170" s="86" t="s">
        <v>70</v>
      </c>
      <c r="K170" s="137">
        <v>46178</v>
      </c>
      <c r="L170" s="137">
        <v>46234</v>
      </c>
      <c r="M170" s="68" t="s">
        <v>736</v>
      </c>
    </row>
    <row r="171" spans="1:13">
      <c r="A171" s="87">
        <v>5987</v>
      </c>
      <c r="B171" s="88" t="s">
        <v>962</v>
      </c>
      <c r="C171" s="87">
        <v>7798074861230</v>
      </c>
      <c r="D171" s="88" t="s">
        <v>963</v>
      </c>
      <c r="E171" s="89">
        <v>12571.5</v>
      </c>
      <c r="F171" s="89">
        <v>10685.775</v>
      </c>
      <c r="G171" s="60">
        <v>1885.7250000000004</v>
      </c>
      <c r="H171" s="91">
        <v>0.15</v>
      </c>
      <c r="I171" s="86" t="s">
        <v>18</v>
      </c>
      <c r="J171" s="86" t="s">
        <v>70</v>
      </c>
      <c r="K171" s="137">
        <v>46178</v>
      </c>
      <c r="L171" s="137">
        <v>46234</v>
      </c>
      <c r="M171" s="68" t="s">
        <v>736</v>
      </c>
    </row>
    <row r="172" spans="1:13">
      <c r="A172" s="87">
        <v>5986</v>
      </c>
      <c r="B172" s="88" t="s">
        <v>964</v>
      </c>
      <c r="C172" s="87">
        <v>7798074862695</v>
      </c>
      <c r="D172" s="88" t="s">
        <v>965</v>
      </c>
      <c r="E172" s="89">
        <v>12571.5</v>
      </c>
      <c r="F172" s="89">
        <v>10685.775</v>
      </c>
      <c r="G172" s="60">
        <v>1885.7250000000004</v>
      </c>
      <c r="H172" s="91">
        <v>0.15</v>
      </c>
      <c r="I172" s="86" t="s">
        <v>18</v>
      </c>
      <c r="J172" s="86" t="s">
        <v>70</v>
      </c>
      <c r="K172" s="137">
        <v>46178</v>
      </c>
      <c r="L172" s="137">
        <v>46234</v>
      </c>
      <c r="M172" s="68" t="s">
        <v>736</v>
      </c>
    </row>
    <row r="173" spans="1:13">
      <c r="A173" s="87">
        <v>8423</v>
      </c>
      <c r="B173" s="88">
        <v>41040</v>
      </c>
      <c r="C173" s="87">
        <v>7790577002714</v>
      </c>
      <c r="D173" s="88" t="s">
        <v>966</v>
      </c>
      <c r="E173" s="89">
        <v>12699.11</v>
      </c>
      <c r="F173" s="89">
        <v>10794.2435</v>
      </c>
      <c r="G173" s="60">
        <v>1904.8665000000001</v>
      </c>
      <c r="H173" s="91">
        <v>0.15</v>
      </c>
      <c r="I173" s="86" t="s">
        <v>18</v>
      </c>
      <c r="J173" s="86" t="s">
        <v>70</v>
      </c>
      <c r="K173" s="137">
        <v>46178</v>
      </c>
      <c r="L173" s="137">
        <v>46234</v>
      </c>
      <c r="M173" s="68" t="s">
        <v>736</v>
      </c>
    </row>
    <row r="174" spans="1:13">
      <c r="A174" s="87">
        <v>660549</v>
      </c>
      <c r="B174" s="88">
        <v>41642</v>
      </c>
      <c r="C174" s="87">
        <v>7798159949532</v>
      </c>
      <c r="D174" s="88" t="s">
        <v>967</v>
      </c>
      <c r="E174" s="89">
        <v>9714.9989999999998</v>
      </c>
      <c r="F174" s="89">
        <v>8257.7491499999996</v>
      </c>
      <c r="G174" s="60">
        <v>1457.2498500000002</v>
      </c>
      <c r="H174" s="91">
        <v>0.15</v>
      </c>
      <c r="I174" s="86" t="s">
        <v>18</v>
      </c>
      <c r="J174" s="86" t="s">
        <v>70</v>
      </c>
      <c r="K174" s="137">
        <v>46178</v>
      </c>
      <c r="L174" s="137">
        <v>46234</v>
      </c>
      <c r="M174" s="68" t="s">
        <v>736</v>
      </c>
    </row>
    <row r="175" spans="1:13">
      <c r="A175" s="87">
        <v>664455</v>
      </c>
      <c r="B175" s="88">
        <v>1779</v>
      </c>
      <c r="C175" s="87">
        <v>742832134064</v>
      </c>
      <c r="D175" s="88" t="s">
        <v>968</v>
      </c>
      <c r="E175" s="89">
        <v>7395.5860000000002</v>
      </c>
      <c r="F175" s="89">
        <v>6286.2480999999998</v>
      </c>
      <c r="G175" s="60">
        <v>1109.3379000000004</v>
      </c>
      <c r="H175" s="91">
        <v>0.15</v>
      </c>
      <c r="I175" s="86" t="s">
        <v>18</v>
      </c>
      <c r="J175" s="86" t="s">
        <v>70</v>
      </c>
      <c r="K175" s="137">
        <v>46178</v>
      </c>
      <c r="L175" s="137">
        <v>46234</v>
      </c>
      <c r="M175" s="68" t="s">
        <v>736</v>
      </c>
    </row>
    <row r="176" spans="1:13">
      <c r="A176" s="87">
        <v>663267</v>
      </c>
      <c r="B176" s="88">
        <v>0</v>
      </c>
      <c r="C176" s="87">
        <v>7798127630516</v>
      </c>
      <c r="D176" s="88" t="s">
        <v>969</v>
      </c>
      <c r="E176" s="89">
        <v>10292.969999999999</v>
      </c>
      <c r="F176" s="89">
        <v>8749.0244999999995</v>
      </c>
      <c r="G176" s="60">
        <v>1543.9454999999998</v>
      </c>
      <c r="H176" s="91">
        <v>0.15</v>
      </c>
      <c r="I176" s="86" t="s">
        <v>18</v>
      </c>
      <c r="J176" s="86" t="s">
        <v>70</v>
      </c>
      <c r="K176" s="137">
        <v>46178</v>
      </c>
      <c r="L176" s="137">
        <v>46234</v>
      </c>
      <c r="M176" s="68" t="s">
        <v>736</v>
      </c>
    </row>
    <row r="177" spans="1:15">
      <c r="A177" s="87">
        <v>661636</v>
      </c>
      <c r="B177" s="88">
        <v>100333033</v>
      </c>
      <c r="C177" s="87">
        <v>7791728234398</v>
      </c>
      <c r="D177" s="88" t="s">
        <v>970</v>
      </c>
      <c r="E177" s="89">
        <v>11136</v>
      </c>
      <c r="F177" s="89">
        <v>9465.6</v>
      </c>
      <c r="G177" s="60">
        <v>1670.3999999999996</v>
      </c>
      <c r="H177" s="91">
        <v>0.15</v>
      </c>
      <c r="I177" s="86" t="s">
        <v>18</v>
      </c>
      <c r="J177" s="86" t="s">
        <v>70</v>
      </c>
      <c r="K177" s="137">
        <v>46178</v>
      </c>
      <c r="L177" s="137">
        <v>46234</v>
      </c>
      <c r="M177" s="68" t="s">
        <v>736</v>
      </c>
    </row>
    <row r="178" spans="1:15">
      <c r="A178" s="87">
        <v>9236</v>
      </c>
      <c r="B178" s="88" t="s">
        <v>971</v>
      </c>
      <c r="C178" s="87">
        <v>7794450092298</v>
      </c>
      <c r="D178" s="88" t="s">
        <v>972</v>
      </c>
      <c r="E178" s="89">
        <v>29510.41</v>
      </c>
      <c r="F178" s="89">
        <v>25083.8485</v>
      </c>
      <c r="G178" s="60">
        <v>4426.5614999999998</v>
      </c>
      <c r="H178" s="91">
        <v>0.15</v>
      </c>
      <c r="I178" s="86" t="s">
        <v>18</v>
      </c>
      <c r="J178" s="86" t="s">
        <v>70</v>
      </c>
      <c r="K178" s="137">
        <v>46178</v>
      </c>
      <c r="L178" s="137">
        <v>46234</v>
      </c>
      <c r="M178" s="68" t="s">
        <v>736</v>
      </c>
    </row>
    <row r="179" spans="1:15">
      <c r="A179" s="87">
        <v>11112</v>
      </c>
      <c r="B179" s="88">
        <v>44000</v>
      </c>
      <c r="C179" s="87">
        <v>7790577004305</v>
      </c>
      <c r="D179" s="88" t="s">
        <v>973</v>
      </c>
      <c r="E179" s="89">
        <v>11353.49</v>
      </c>
      <c r="F179" s="89">
        <v>9650.4665000000005</v>
      </c>
      <c r="G179" s="60">
        <v>1703.0234999999993</v>
      </c>
      <c r="H179" s="91">
        <v>0.15</v>
      </c>
      <c r="I179" s="86" t="s">
        <v>18</v>
      </c>
      <c r="J179" s="86" t="s">
        <v>70</v>
      </c>
      <c r="K179" s="137">
        <v>46178</v>
      </c>
      <c r="L179" s="137">
        <v>46234</v>
      </c>
      <c r="M179" s="68" t="s">
        <v>736</v>
      </c>
    </row>
    <row r="180" spans="1:15">
      <c r="A180" s="87">
        <v>662744</v>
      </c>
      <c r="B180" s="88">
        <v>234</v>
      </c>
      <c r="C180" s="87">
        <v>7798123970234</v>
      </c>
      <c r="D180" s="88" t="s">
        <v>974</v>
      </c>
      <c r="E180" s="89">
        <v>10942.82</v>
      </c>
      <c r="F180" s="89">
        <v>9301.396999999999</v>
      </c>
      <c r="G180" s="60">
        <v>1641.4230000000007</v>
      </c>
      <c r="H180" s="91">
        <v>0.15</v>
      </c>
      <c r="I180" s="86" t="s">
        <v>18</v>
      </c>
      <c r="J180" s="86" t="s">
        <v>70</v>
      </c>
      <c r="K180" s="137">
        <v>46178</v>
      </c>
      <c r="L180" s="137">
        <v>46234</v>
      </c>
      <c r="M180" s="68" t="s">
        <v>736</v>
      </c>
    </row>
    <row r="181" spans="1:15">
      <c r="A181" s="87">
        <v>662745</v>
      </c>
      <c r="B181" s="88">
        <v>302</v>
      </c>
      <c r="C181" s="87">
        <v>7798123970302</v>
      </c>
      <c r="D181" s="88" t="s">
        <v>975</v>
      </c>
      <c r="E181" s="89">
        <v>12158.68</v>
      </c>
      <c r="F181" s="89">
        <v>10334.878000000001</v>
      </c>
      <c r="G181" s="60">
        <v>1823.8019999999997</v>
      </c>
      <c r="H181" s="91">
        <v>0.15</v>
      </c>
      <c r="I181" s="86" t="s">
        <v>18</v>
      </c>
      <c r="J181" s="86" t="s">
        <v>70</v>
      </c>
      <c r="K181" s="137">
        <v>46178</v>
      </c>
      <c r="L181" s="137">
        <v>46234</v>
      </c>
      <c r="M181" s="68" t="s">
        <v>736</v>
      </c>
    </row>
    <row r="182" spans="1:15">
      <c r="A182" s="87">
        <v>666478</v>
      </c>
      <c r="B182" s="88">
        <v>100305680</v>
      </c>
      <c r="C182" s="87">
        <v>7791728002775</v>
      </c>
      <c r="D182" s="88" t="s">
        <v>976</v>
      </c>
      <c r="E182" s="89">
        <v>48600</v>
      </c>
      <c r="F182" s="89">
        <v>41310</v>
      </c>
      <c r="G182" s="60">
        <v>7290</v>
      </c>
      <c r="H182" s="91">
        <v>0.15</v>
      </c>
      <c r="I182" s="86" t="s">
        <v>18</v>
      </c>
      <c r="J182" s="86" t="s">
        <v>70</v>
      </c>
      <c r="K182" s="137">
        <v>46178</v>
      </c>
      <c r="L182" s="137">
        <v>46234</v>
      </c>
      <c r="M182" s="68" t="s">
        <v>736</v>
      </c>
    </row>
    <row r="183" spans="1:15">
      <c r="A183" s="3">
        <v>667329</v>
      </c>
      <c r="B183" s="4">
        <v>15383</v>
      </c>
      <c r="C183" s="2" t="s">
        <v>196</v>
      </c>
      <c r="D183" s="1" t="s">
        <v>197</v>
      </c>
      <c r="E183" s="32">
        <v>5749</v>
      </c>
      <c r="F183" s="33">
        <v>5174.1000000000004</v>
      </c>
      <c r="G183" s="31">
        <v>-574.89999999999964</v>
      </c>
      <c r="H183" s="28">
        <v>0.1</v>
      </c>
      <c r="I183" s="3" t="s">
        <v>18</v>
      </c>
      <c r="J183" s="3" t="s">
        <v>23</v>
      </c>
      <c r="K183" s="29">
        <v>46204</v>
      </c>
      <c r="L183" s="6">
        <v>46234</v>
      </c>
      <c r="M183" s="6" t="s">
        <v>59</v>
      </c>
      <c r="N183" s="47"/>
      <c r="O183" s="47"/>
    </row>
    <row r="184" spans="1:15">
      <c r="A184" s="3">
        <v>667326</v>
      </c>
      <c r="B184" s="4">
        <v>15022</v>
      </c>
      <c r="C184" s="2" t="s">
        <v>192</v>
      </c>
      <c r="D184" s="1" t="s">
        <v>193</v>
      </c>
      <c r="E184" s="32">
        <v>5749</v>
      </c>
      <c r="F184" s="33">
        <v>5174.1000000000004</v>
      </c>
      <c r="G184" s="31">
        <v>-574.89999999999964</v>
      </c>
      <c r="H184" s="28">
        <v>0.1</v>
      </c>
      <c r="I184" s="3" t="s">
        <v>18</v>
      </c>
      <c r="J184" s="3" t="s">
        <v>23</v>
      </c>
      <c r="K184" s="29">
        <v>46204</v>
      </c>
      <c r="L184" s="6">
        <v>46234</v>
      </c>
      <c r="M184" s="6" t="s">
        <v>59</v>
      </c>
      <c r="N184" s="47"/>
      <c r="O184" s="47"/>
    </row>
    <row r="185" spans="1:15">
      <c r="A185" s="3">
        <v>667327</v>
      </c>
      <c r="B185" s="4">
        <v>15021</v>
      </c>
      <c r="C185" s="2" t="s">
        <v>190</v>
      </c>
      <c r="D185" s="1" t="s">
        <v>191</v>
      </c>
      <c r="E185" s="32">
        <v>6279</v>
      </c>
      <c r="F185" s="33">
        <v>5651.1</v>
      </c>
      <c r="G185" s="31">
        <v>-627.89999999999964</v>
      </c>
      <c r="H185" s="28">
        <v>0.1</v>
      </c>
      <c r="I185" s="3" t="s">
        <v>18</v>
      </c>
      <c r="J185" s="3" t="s">
        <v>23</v>
      </c>
      <c r="K185" s="29">
        <v>46204</v>
      </c>
      <c r="L185" s="6">
        <v>46234</v>
      </c>
      <c r="M185" s="6" t="s">
        <v>59</v>
      </c>
      <c r="N185" s="47"/>
      <c r="O185" s="47"/>
    </row>
    <row r="186" spans="1:15">
      <c r="A186" s="3">
        <v>667330</v>
      </c>
      <c r="B186" s="4">
        <v>15532</v>
      </c>
      <c r="C186" s="2" t="s">
        <v>198</v>
      </c>
      <c r="D186" s="1" t="s">
        <v>199</v>
      </c>
      <c r="E186" s="32">
        <v>11410</v>
      </c>
      <c r="F186" s="33">
        <v>10269</v>
      </c>
      <c r="G186" s="31">
        <v>-1141</v>
      </c>
      <c r="H186" s="28">
        <v>0.1</v>
      </c>
      <c r="I186" s="3" t="s">
        <v>18</v>
      </c>
      <c r="J186" s="3" t="s">
        <v>23</v>
      </c>
      <c r="K186" s="29">
        <v>46204</v>
      </c>
      <c r="L186" s="6">
        <v>46234</v>
      </c>
      <c r="M186" s="6" t="s">
        <v>59</v>
      </c>
      <c r="N186" s="47"/>
      <c r="O186" s="47"/>
    </row>
    <row r="187" spans="1:15">
      <c r="A187" s="3">
        <v>667328</v>
      </c>
      <c r="B187" s="4">
        <v>15177</v>
      </c>
      <c r="C187" s="2" t="s">
        <v>194</v>
      </c>
      <c r="D187" s="1" t="s">
        <v>195</v>
      </c>
      <c r="E187" s="32">
        <v>6929</v>
      </c>
      <c r="F187" s="33">
        <v>6236.1</v>
      </c>
      <c r="G187" s="31">
        <v>-692.89999999999964</v>
      </c>
      <c r="H187" s="28">
        <v>0.1</v>
      </c>
      <c r="I187" s="3" t="s">
        <v>18</v>
      </c>
      <c r="J187" s="3" t="s">
        <v>23</v>
      </c>
      <c r="K187" s="29">
        <v>46204</v>
      </c>
      <c r="L187" s="6">
        <v>46234</v>
      </c>
      <c r="M187" s="6" t="s">
        <v>59</v>
      </c>
      <c r="N187" s="47"/>
      <c r="O187" s="47"/>
    </row>
    <row r="188" spans="1:15">
      <c r="A188" s="3">
        <v>667332</v>
      </c>
      <c r="B188" s="4">
        <v>15528</v>
      </c>
      <c r="C188" s="2">
        <v>7790580139162</v>
      </c>
      <c r="D188" s="1" t="s">
        <v>200</v>
      </c>
      <c r="E188" s="32">
        <v>13565</v>
      </c>
      <c r="F188" s="33">
        <v>12208.5</v>
      </c>
      <c r="G188" s="31">
        <v>-1356.5</v>
      </c>
      <c r="H188" s="28">
        <v>0.1</v>
      </c>
      <c r="I188" s="3" t="s">
        <v>18</v>
      </c>
      <c r="J188" s="3" t="s">
        <v>23</v>
      </c>
      <c r="K188" s="29">
        <v>46204</v>
      </c>
      <c r="L188" s="6">
        <v>46234</v>
      </c>
      <c r="M188" s="6" t="s">
        <v>59</v>
      </c>
      <c r="N188" s="47"/>
      <c r="O188" s="47"/>
    </row>
    <row r="189" spans="1:15">
      <c r="A189" s="3">
        <v>20427</v>
      </c>
      <c r="B189" s="4">
        <v>11905</v>
      </c>
      <c r="C189" s="2" t="s">
        <v>213</v>
      </c>
      <c r="D189" s="1" t="s">
        <v>119</v>
      </c>
      <c r="E189" s="32">
        <v>679.99</v>
      </c>
      <c r="F189" s="33">
        <v>577.99149999999997</v>
      </c>
      <c r="G189" s="31">
        <v>-101.99850000000004</v>
      </c>
      <c r="H189" s="28">
        <v>0.15</v>
      </c>
      <c r="I189" s="3" t="s">
        <v>18</v>
      </c>
      <c r="J189" s="3" t="s">
        <v>70</v>
      </c>
      <c r="K189" s="29">
        <v>46204</v>
      </c>
      <c r="L189" s="6">
        <v>46234</v>
      </c>
      <c r="M189" s="6" t="s">
        <v>59</v>
      </c>
      <c r="N189" s="47"/>
      <c r="O189" s="47"/>
    </row>
    <row r="190" spans="1:15">
      <c r="A190" s="3">
        <v>20429</v>
      </c>
      <c r="B190" s="4">
        <v>11913</v>
      </c>
      <c r="C190" s="2" t="s">
        <v>218</v>
      </c>
      <c r="D190" s="1" t="s">
        <v>120</v>
      </c>
      <c r="E190" s="32">
        <v>679.99</v>
      </c>
      <c r="F190" s="33">
        <v>577.99149999999997</v>
      </c>
      <c r="G190" s="31">
        <v>-101.99850000000004</v>
      </c>
      <c r="H190" s="28">
        <v>0.15</v>
      </c>
      <c r="I190" s="3" t="s">
        <v>18</v>
      </c>
      <c r="J190" s="3" t="s">
        <v>70</v>
      </c>
      <c r="K190" s="29">
        <v>46204</v>
      </c>
      <c r="L190" s="6">
        <v>46234</v>
      </c>
      <c r="M190" s="6" t="s">
        <v>59</v>
      </c>
      <c r="N190" s="47"/>
      <c r="O190" s="47"/>
    </row>
    <row r="191" spans="1:15">
      <c r="A191" s="3">
        <v>662958</v>
      </c>
      <c r="B191" s="4">
        <v>11916</v>
      </c>
      <c r="C191" s="2" t="s">
        <v>221</v>
      </c>
      <c r="D191" s="1" t="s">
        <v>222</v>
      </c>
      <c r="E191" s="32">
        <v>4699.99</v>
      </c>
      <c r="F191" s="33">
        <v>3994.9914999999996</v>
      </c>
      <c r="G191" s="31">
        <v>-704.99850000000015</v>
      </c>
      <c r="H191" s="28">
        <v>0.15</v>
      </c>
      <c r="I191" s="3" t="s">
        <v>18</v>
      </c>
      <c r="J191" s="3" t="s">
        <v>70</v>
      </c>
      <c r="K191" s="29">
        <v>46204</v>
      </c>
      <c r="L191" s="6">
        <v>46234</v>
      </c>
      <c r="M191" s="6" t="s">
        <v>59</v>
      </c>
      <c r="N191" s="47"/>
      <c r="O191" s="47"/>
    </row>
    <row r="192" spans="1:15">
      <c r="A192" s="3">
        <v>667337</v>
      </c>
      <c r="B192" s="4">
        <v>15393</v>
      </c>
      <c r="C192" s="2" t="s">
        <v>207</v>
      </c>
      <c r="D192" s="1" t="s">
        <v>208</v>
      </c>
      <c r="E192" s="32">
        <v>2149.9899999999998</v>
      </c>
      <c r="F192" s="33">
        <v>1827.4914999999999</v>
      </c>
      <c r="G192" s="31">
        <v>-322.49849999999992</v>
      </c>
      <c r="H192" s="28">
        <v>0.15</v>
      </c>
      <c r="I192" s="3" t="s">
        <v>18</v>
      </c>
      <c r="J192" s="3" t="s">
        <v>70</v>
      </c>
      <c r="K192" s="29">
        <v>46204</v>
      </c>
      <c r="L192" s="6">
        <v>46234</v>
      </c>
      <c r="M192" s="6" t="s">
        <v>59</v>
      </c>
      <c r="N192" s="47"/>
      <c r="O192" s="47"/>
    </row>
    <row r="193" spans="1:15">
      <c r="A193" s="3">
        <v>667336</v>
      </c>
      <c r="B193" s="4">
        <v>15392</v>
      </c>
      <c r="C193" s="2" t="s">
        <v>205</v>
      </c>
      <c r="D193" s="1" t="s">
        <v>206</v>
      </c>
      <c r="E193" s="32">
        <v>8989</v>
      </c>
      <c r="F193" s="33">
        <v>7640.65</v>
      </c>
      <c r="G193" s="31">
        <v>-1348.3500000000004</v>
      </c>
      <c r="H193" s="28">
        <v>0.15</v>
      </c>
      <c r="I193" s="3" t="s">
        <v>18</v>
      </c>
      <c r="J193" s="3" t="s">
        <v>70</v>
      </c>
      <c r="K193" s="29">
        <v>46204</v>
      </c>
      <c r="L193" s="6">
        <v>46234</v>
      </c>
      <c r="M193" s="6" t="s">
        <v>59</v>
      </c>
      <c r="N193" s="47"/>
      <c r="O193" s="47"/>
    </row>
    <row r="194" spans="1:15">
      <c r="A194" s="3">
        <v>659343</v>
      </c>
      <c r="B194" s="4">
        <v>11912</v>
      </c>
      <c r="C194" s="2" t="s">
        <v>216</v>
      </c>
      <c r="D194" s="1" t="s">
        <v>217</v>
      </c>
      <c r="E194" s="32">
        <v>13099.99</v>
      </c>
      <c r="F194" s="33">
        <v>11134.9915</v>
      </c>
      <c r="G194" s="31">
        <v>-1964.9984999999997</v>
      </c>
      <c r="H194" s="28">
        <v>0.15</v>
      </c>
      <c r="I194" s="3" t="s">
        <v>18</v>
      </c>
      <c r="J194" s="3" t="s">
        <v>70</v>
      </c>
      <c r="K194" s="29">
        <v>46204</v>
      </c>
      <c r="L194" s="6">
        <v>46234</v>
      </c>
      <c r="M194" s="6" t="s">
        <v>59</v>
      </c>
      <c r="N194" s="47"/>
      <c r="O194" s="47"/>
    </row>
    <row r="195" spans="1:15">
      <c r="A195" s="3">
        <v>20432</v>
      </c>
      <c r="B195" s="4">
        <v>11921</v>
      </c>
      <c r="C195" s="2" t="s">
        <v>223</v>
      </c>
      <c r="D195" s="1" t="s">
        <v>224</v>
      </c>
      <c r="E195" s="32">
        <v>12099.99</v>
      </c>
      <c r="F195" s="33">
        <v>10284.9915</v>
      </c>
      <c r="G195" s="31">
        <v>-1814.9984999999997</v>
      </c>
      <c r="H195" s="28">
        <v>0.15</v>
      </c>
      <c r="I195" s="3" t="s">
        <v>18</v>
      </c>
      <c r="J195" s="3" t="s">
        <v>70</v>
      </c>
      <c r="K195" s="29">
        <v>46204</v>
      </c>
      <c r="L195" s="6">
        <v>46234</v>
      </c>
      <c r="M195" s="6" t="s">
        <v>59</v>
      </c>
      <c r="N195" s="47"/>
      <c r="O195" s="47"/>
    </row>
    <row r="196" spans="1:15">
      <c r="A196" s="3">
        <v>20428</v>
      </c>
      <c r="B196" s="4">
        <v>11906</v>
      </c>
      <c r="C196" s="2" t="s">
        <v>214</v>
      </c>
      <c r="D196" s="1" t="s">
        <v>215</v>
      </c>
      <c r="E196" s="32">
        <v>12099.99</v>
      </c>
      <c r="F196" s="33">
        <v>10284.9915</v>
      </c>
      <c r="G196" s="31">
        <v>-1814.9984999999997</v>
      </c>
      <c r="H196" s="28">
        <v>0.15</v>
      </c>
      <c r="I196" s="3" t="s">
        <v>18</v>
      </c>
      <c r="J196" s="3" t="s">
        <v>70</v>
      </c>
      <c r="K196" s="29">
        <v>46204</v>
      </c>
      <c r="L196" s="6">
        <v>46234</v>
      </c>
      <c r="M196" s="6" t="s">
        <v>59</v>
      </c>
      <c r="N196" s="47"/>
      <c r="O196" s="47"/>
    </row>
    <row r="197" spans="1:15">
      <c r="A197" s="3">
        <v>20426</v>
      </c>
      <c r="B197" s="4">
        <v>11777</v>
      </c>
      <c r="C197" s="2" t="s">
        <v>211</v>
      </c>
      <c r="D197" s="1" t="s">
        <v>212</v>
      </c>
      <c r="E197" s="32">
        <v>12099.99</v>
      </c>
      <c r="F197" s="33">
        <v>10284.9915</v>
      </c>
      <c r="G197" s="31">
        <v>-1814.9984999999997</v>
      </c>
      <c r="H197" s="28">
        <v>0.15</v>
      </c>
      <c r="I197" s="3" t="s">
        <v>18</v>
      </c>
      <c r="J197" s="3" t="s">
        <v>70</v>
      </c>
      <c r="K197" s="29">
        <v>46204</v>
      </c>
      <c r="L197" s="6">
        <v>46234</v>
      </c>
      <c r="M197" s="6" t="s">
        <v>59</v>
      </c>
      <c r="N197" s="47"/>
      <c r="O197" s="47"/>
    </row>
    <row r="198" spans="1:15">
      <c r="A198" s="3">
        <v>20431</v>
      </c>
      <c r="B198" s="4">
        <v>11915</v>
      </c>
      <c r="C198" s="2" t="s">
        <v>219</v>
      </c>
      <c r="D198" s="1" t="s">
        <v>220</v>
      </c>
      <c r="E198" s="32">
        <v>12099.99</v>
      </c>
      <c r="F198" s="33">
        <v>10284.9915</v>
      </c>
      <c r="G198" s="31">
        <v>-1814.9984999999997</v>
      </c>
      <c r="H198" s="28">
        <v>0.15</v>
      </c>
      <c r="I198" s="3" t="s">
        <v>18</v>
      </c>
      <c r="J198" s="3" t="s">
        <v>70</v>
      </c>
      <c r="K198" s="29">
        <v>46204</v>
      </c>
      <c r="L198" s="6">
        <v>46234</v>
      </c>
      <c r="M198" s="6" t="s">
        <v>59</v>
      </c>
      <c r="N198" s="47"/>
      <c r="O198" s="47"/>
    </row>
    <row r="199" spans="1:15">
      <c r="A199" s="3">
        <v>3194</v>
      </c>
      <c r="B199" s="4">
        <v>5312</v>
      </c>
      <c r="C199" s="2" t="s">
        <v>228</v>
      </c>
      <c r="D199" s="1" t="s">
        <v>117</v>
      </c>
      <c r="E199" s="32">
        <v>2299.9899999999998</v>
      </c>
      <c r="F199" s="33">
        <v>1885.9917999999998</v>
      </c>
      <c r="G199" s="31">
        <v>-413.9982</v>
      </c>
      <c r="H199" s="28">
        <v>0.18</v>
      </c>
      <c r="I199" s="3" t="s">
        <v>18</v>
      </c>
      <c r="J199" s="3" t="s">
        <v>141</v>
      </c>
      <c r="K199" s="29">
        <v>46204</v>
      </c>
      <c r="L199" s="6">
        <v>46234</v>
      </c>
      <c r="M199" s="6" t="s">
        <v>59</v>
      </c>
      <c r="N199" s="47"/>
      <c r="O199" s="47"/>
    </row>
    <row r="200" spans="1:15">
      <c r="A200" s="3">
        <v>663699</v>
      </c>
      <c r="B200" s="4">
        <v>13709</v>
      </c>
      <c r="C200" s="2" t="s">
        <v>225</v>
      </c>
      <c r="D200" s="1" t="s">
        <v>118</v>
      </c>
      <c r="E200" s="32">
        <v>2299.9899999999998</v>
      </c>
      <c r="F200" s="33">
        <v>1954.9914999999999</v>
      </c>
      <c r="G200" s="31">
        <v>-344.99849999999992</v>
      </c>
      <c r="H200" s="28">
        <v>0.15</v>
      </c>
      <c r="I200" s="3" t="s">
        <v>18</v>
      </c>
      <c r="J200" s="3" t="s">
        <v>70</v>
      </c>
      <c r="K200" s="29">
        <v>46204</v>
      </c>
      <c r="L200" s="6">
        <v>46234</v>
      </c>
      <c r="M200" s="6" t="s">
        <v>59</v>
      </c>
      <c r="N200" s="47"/>
      <c r="O200" s="47"/>
    </row>
    <row r="201" spans="1:15">
      <c r="A201" s="3">
        <v>667338</v>
      </c>
      <c r="B201" s="4">
        <v>15413</v>
      </c>
      <c r="C201" s="2" t="s">
        <v>226</v>
      </c>
      <c r="D201" s="1" t="s">
        <v>227</v>
      </c>
      <c r="E201" s="32">
        <v>2299.9899999999998</v>
      </c>
      <c r="F201" s="33">
        <v>1954.9914999999999</v>
      </c>
      <c r="G201" s="31">
        <v>-344.99849999999992</v>
      </c>
      <c r="H201" s="28">
        <v>0.15</v>
      </c>
      <c r="I201" s="3" t="s">
        <v>18</v>
      </c>
      <c r="J201" s="3" t="s">
        <v>70</v>
      </c>
      <c r="K201" s="29">
        <v>46204</v>
      </c>
      <c r="L201" s="6">
        <v>46234</v>
      </c>
      <c r="M201" s="6" t="s">
        <v>59</v>
      </c>
      <c r="N201" s="47"/>
      <c r="O201" s="47"/>
    </row>
    <row r="202" spans="1:15">
      <c r="A202" s="3">
        <v>667339</v>
      </c>
      <c r="B202" s="4">
        <v>15530</v>
      </c>
      <c r="C202" s="2" t="s">
        <v>203</v>
      </c>
      <c r="D202" s="1" t="s">
        <v>204</v>
      </c>
      <c r="E202" s="32">
        <v>3699</v>
      </c>
      <c r="F202" s="33">
        <v>3329.1</v>
      </c>
      <c r="G202" s="31">
        <v>-369.90000000000009</v>
      </c>
      <c r="H202" s="28">
        <v>0.1</v>
      </c>
      <c r="I202" s="3" t="s">
        <v>18</v>
      </c>
      <c r="J202" s="3" t="s">
        <v>23</v>
      </c>
      <c r="K202" s="29">
        <v>46204</v>
      </c>
      <c r="L202" s="6">
        <v>46234</v>
      </c>
      <c r="M202" s="6" t="s">
        <v>59</v>
      </c>
      <c r="N202" s="47"/>
      <c r="O202" s="47"/>
    </row>
    <row r="203" spans="1:15">
      <c r="A203" s="23">
        <v>664182</v>
      </c>
      <c r="B203" s="23">
        <v>1445</v>
      </c>
      <c r="C203" s="22" t="s">
        <v>252</v>
      </c>
      <c r="D203" s="5" t="s">
        <v>138</v>
      </c>
      <c r="E203" s="24">
        <v>1966</v>
      </c>
      <c r="F203" s="26">
        <v>1769.4</v>
      </c>
      <c r="G203" s="31">
        <v>-196.59999999999991</v>
      </c>
      <c r="H203" s="28">
        <v>0.1</v>
      </c>
      <c r="I203" s="3" t="s">
        <v>18</v>
      </c>
      <c r="J203" s="3" t="s">
        <v>23</v>
      </c>
      <c r="K203" s="29">
        <v>46204</v>
      </c>
      <c r="L203" s="6">
        <v>46234</v>
      </c>
      <c r="M203" s="6" t="s">
        <v>59</v>
      </c>
      <c r="N203" s="47"/>
      <c r="O203" s="47"/>
    </row>
    <row r="204" spans="1:15">
      <c r="A204" s="23">
        <v>664847</v>
      </c>
      <c r="B204" s="23">
        <v>1529</v>
      </c>
      <c r="C204" s="22" t="s">
        <v>253</v>
      </c>
      <c r="D204" s="5" t="s">
        <v>49</v>
      </c>
      <c r="E204" s="24">
        <v>1015</v>
      </c>
      <c r="F204" s="26">
        <v>913.5</v>
      </c>
      <c r="G204" s="31">
        <v>-101.5</v>
      </c>
      <c r="H204" s="28">
        <v>0.1</v>
      </c>
      <c r="I204" s="3" t="s">
        <v>18</v>
      </c>
      <c r="J204" s="3" t="s">
        <v>23</v>
      </c>
      <c r="K204" s="29">
        <v>46204</v>
      </c>
      <c r="L204" s="6">
        <v>46234</v>
      </c>
      <c r="M204" s="6" t="s">
        <v>59</v>
      </c>
      <c r="N204" s="47"/>
      <c r="O204" s="47"/>
    </row>
    <row r="205" spans="1:15">
      <c r="A205" s="3">
        <v>1402</v>
      </c>
      <c r="B205" s="4">
        <v>171</v>
      </c>
      <c r="C205" s="2" t="s">
        <v>245</v>
      </c>
      <c r="D205" s="1" t="s">
        <v>48</v>
      </c>
      <c r="E205" s="32">
        <v>15199.99</v>
      </c>
      <c r="F205" s="33">
        <v>9879.9935000000005</v>
      </c>
      <c r="G205" s="31">
        <v>-5319.9964999999993</v>
      </c>
      <c r="H205" s="28">
        <v>0.35</v>
      </c>
      <c r="I205" s="3" t="s">
        <v>15</v>
      </c>
      <c r="J205" s="3" t="s">
        <v>16</v>
      </c>
      <c r="K205" s="29">
        <v>46204</v>
      </c>
      <c r="L205" s="6">
        <v>46234</v>
      </c>
      <c r="M205" s="6" t="s">
        <v>59</v>
      </c>
      <c r="N205" s="47"/>
      <c r="O205" s="47"/>
    </row>
    <row r="206" spans="1:15">
      <c r="A206" s="23">
        <v>1344</v>
      </c>
      <c r="B206" s="23">
        <v>164</v>
      </c>
      <c r="C206" s="22" t="s">
        <v>251</v>
      </c>
      <c r="D206" s="5" t="s">
        <v>132</v>
      </c>
      <c r="E206" s="24">
        <v>3906</v>
      </c>
      <c r="F206" s="26">
        <v>3515.4</v>
      </c>
      <c r="G206" s="31">
        <v>-390.59999999999991</v>
      </c>
      <c r="H206" s="28">
        <v>0.1</v>
      </c>
      <c r="I206" s="3" t="s">
        <v>18</v>
      </c>
      <c r="J206" s="3" t="s">
        <v>23</v>
      </c>
      <c r="K206" s="29">
        <v>46204</v>
      </c>
      <c r="L206" s="6">
        <v>46234</v>
      </c>
      <c r="M206" s="6" t="s">
        <v>59</v>
      </c>
      <c r="N206" s="47"/>
      <c r="O206" s="47"/>
    </row>
    <row r="207" spans="1:15">
      <c r="A207" s="3">
        <v>664411</v>
      </c>
      <c r="B207" s="4">
        <v>1731</v>
      </c>
      <c r="C207" s="2" t="s">
        <v>243</v>
      </c>
      <c r="D207" s="1" t="s">
        <v>244</v>
      </c>
      <c r="E207" s="32">
        <v>4050</v>
      </c>
      <c r="F207" s="33">
        <v>3037.5</v>
      </c>
      <c r="G207" s="31">
        <v>-1012.5</v>
      </c>
      <c r="H207" s="28">
        <v>0.25</v>
      </c>
      <c r="I207" s="3" t="s">
        <v>15</v>
      </c>
      <c r="J207" s="3" t="s">
        <v>19</v>
      </c>
      <c r="K207" s="29">
        <v>46204</v>
      </c>
      <c r="L207" s="6">
        <v>46234</v>
      </c>
      <c r="M207" s="6" t="s">
        <v>59</v>
      </c>
      <c r="N207" s="47"/>
      <c r="O207" s="47"/>
    </row>
    <row r="208" spans="1:15">
      <c r="A208" s="86">
        <v>666365</v>
      </c>
      <c r="B208" s="86">
        <v>2833</v>
      </c>
      <c r="C208" s="87">
        <v>7790670052999</v>
      </c>
      <c r="D208" s="88" t="s">
        <v>1368</v>
      </c>
      <c r="E208" s="89">
        <v>3540</v>
      </c>
      <c r="F208" s="89">
        <f>+E208*1.5/2</f>
        <v>2655</v>
      </c>
      <c r="G208" s="90">
        <f t="shared" ref="G208:G219" si="1">+F208-E208</f>
        <v>-885</v>
      </c>
      <c r="H208" s="91">
        <v>0.25</v>
      </c>
      <c r="I208" s="86" t="s">
        <v>15</v>
      </c>
      <c r="J208" s="88" t="s">
        <v>654</v>
      </c>
      <c r="K208" s="92">
        <v>46205</v>
      </c>
      <c r="L208" s="92">
        <v>46234</v>
      </c>
      <c r="M208" s="6" t="s">
        <v>719</v>
      </c>
      <c r="N208" s="47"/>
      <c r="O208" s="47"/>
    </row>
    <row r="209" spans="1:15">
      <c r="A209" s="86">
        <v>666336</v>
      </c>
      <c r="B209" s="86">
        <v>2615</v>
      </c>
      <c r="C209" s="87">
        <v>7891515586812</v>
      </c>
      <c r="D209" s="88" t="s">
        <v>1362</v>
      </c>
      <c r="E209" s="89">
        <v>6945</v>
      </c>
      <c r="F209" s="89">
        <f>+E209*0.75</f>
        <v>5208.75</v>
      </c>
      <c r="G209" s="90">
        <f t="shared" si="1"/>
        <v>-1736.25</v>
      </c>
      <c r="H209" s="91">
        <v>0.25</v>
      </c>
      <c r="I209" s="86" t="s">
        <v>18</v>
      </c>
      <c r="J209" s="88" t="s">
        <v>24</v>
      </c>
      <c r="K209" s="92">
        <v>46205</v>
      </c>
      <c r="L209" s="92">
        <v>46234</v>
      </c>
      <c r="M209" s="6" t="s">
        <v>719</v>
      </c>
      <c r="N209" s="47"/>
      <c r="O209" s="47"/>
    </row>
    <row r="210" spans="1:15">
      <c r="A210" s="86">
        <v>659418</v>
      </c>
      <c r="B210" s="86">
        <v>929</v>
      </c>
      <c r="C210" s="87">
        <v>7798304851536</v>
      </c>
      <c r="D210" s="88" t="s">
        <v>1358</v>
      </c>
      <c r="E210" s="89">
        <v>7310</v>
      </c>
      <c r="F210" s="89">
        <f>+E210*0.85</f>
        <v>6213.5</v>
      </c>
      <c r="G210" s="90">
        <f t="shared" si="1"/>
        <v>-1096.5</v>
      </c>
      <c r="H210" s="91">
        <v>0.15</v>
      </c>
      <c r="I210" s="86" t="s">
        <v>18</v>
      </c>
      <c r="J210" s="88" t="s">
        <v>653</v>
      </c>
      <c r="K210" s="92">
        <v>46205</v>
      </c>
      <c r="L210" s="92">
        <v>46234</v>
      </c>
      <c r="M210" s="6" t="s">
        <v>719</v>
      </c>
      <c r="N210" s="47"/>
      <c r="O210" s="47"/>
    </row>
    <row r="211" spans="1:15">
      <c r="A211" s="86">
        <v>659421</v>
      </c>
      <c r="B211" s="86">
        <v>2090</v>
      </c>
      <c r="C211" s="87">
        <v>7798304851468</v>
      </c>
      <c r="D211" s="88" t="s">
        <v>1359</v>
      </c>
      <c r="E211" s="89">
        <v>6460</v>
      </c>
      <c r="F211" s="89">
        <f>+E211*0.85</f>
        <v>5491</v>
      </c>
      <c r="G211" s="90">
        <f t="shared" si="1"/>
        <v>-969</v>
      </c>
      <c r="H211" s="91">
        <v>0.15</v>
      </c>
      <c r="I211" s="86" t="s">
        <v>18</v>
      </c>
      <c r="J211" s="88" t="s">
        <v>653</v>
      </c>
      <c r="K211" s="92">
        <v>46205</v>
      </c>
      <c r="L211" s="92">
        <v>46234</v>
      </c>
      <c r="M211" s="6" t="s">
        <v>719</v>
      </c>
      <c r="N211" s="47"/>
      <c r="O211" s="47"/>
    </row>
    <row r="212" spans="1:15">
      <c r="A212" s="86">
        <v>659717</v>
      </c>
      <c r="B212" s="86">
        <v>960</v>
      </c>
      <c r="C212" s="87">
        <v>7798304851338</v>
      </c>
      <c r="D212" s="88" t="s">
        <v>1360</v>
      </c>
      <c r="E212" s="89">
        <v>8060</v>
      </c>
      <c r="F212" s="89">
        <f>+E212*0.85</f>
        <v>6851</v>
      </c>
      <c r="G212" s="90">
        <f t="shared" si="1"/>
        <v>-1209</v>
      </c>
      <c r="H212" s="91">
        <v>0.15</v>
      </c>
      <c r="I212" s="86" t="s">
        <v>18</v>
      </c>
      <c r="J212" s="88" t="s">
        <v>653</v>
      </c>
      <c r="K212" s="92">
        <v>46205</v>
      </c>
      <c r="L212" s="92">
        <v>46234</v>
      </c>
      <c r="M212" s="6" t="s">
        <v>719</v>
      </c>
      <c r="N212" s="47"/>
      <c r="O212" s="47"/>
    </row>
    <row r="213" spans="1:15">
      <c r="A213" s="86">
        <v>659416</v>
      </c>
      <c r="B213" s="86">
        <v>940</v>
      </c>
      <c r="C213" s="87">
        <v>7798304851321</v>
      </c>
      <c r="D213" s="88" t="s">
        <v>1361</v>
      </c>
      <c r="E213" s="89">
        <v>5590</v>
      </c>
      <c r="F213" s="89">
        <f>+E213*0.85</f>
        <v>4751.5</v>
      </c>
      <c r="G213" s="90">
        <f t="shared" si="1"/>
        <v>-838.5</v>
      </c>
      <c r="H213" s="91">
        <v>0.15</v>
      </c>
      <c r="I213" s="86" t="s">
        <v>18</v>
      </c>
      <c r="J213" s="88" t="s">
        <v>653</v>
      </c>
      <c r="K213" s="92">
        <v>46205</v>
      </c>
      <c r="L213" s="92">
        <v>46234</v>
      </c>
      <c r="M213" s="6" t="s">
        <v>719</v>
      </c>
      <c r="N213" s="47"/>
      <c r="O213" s="47"/>
    </row>
    <row r="214" spans="1:15">
      <c r="A214" s="86">
        <v>17314</v>
      </c>
      <c r="B214" s="86">
        <v>2913</v>
      </c>
      <c r="C214" s="87">
        <v>7790670050063</v>
      </c>
      <c r="D214" s="88" t="s">
        <v>1369</v>
      </c>
      <c r="E214" s="89">
        <v>1925</v>
      </c>
      <c r="F214" s="89">
        <f>+E214*1.5/2</f>
        <v>1443.75</v>
      </c>
      <c r="G214" s="90">
        <f t="shared" si="1"/>
        <v>-481.25</v>
      </c>
      <c r="H214" s="91">
        <v>0.25</v>
      </c>
      <c r="I214" s="86" t="s">
        <v>15</v>
      </c>
      <c r="J214" s="88" t="s">
        <v>654</v>
      </c>
      <c r="K214" s="92">
        <v>46205</v>
      </c>
      <c r="L214" s="92">
        <v>46234</v>
      </c>
      <c r="M214" s="6" t="s">
        <v>719</v>
      </c>
      <c r="N214" s="47"/>
      <c r="O214" s="47"/>
    </row>
    <row r="215" spans="1:15">
      <c r="A215" s="86">
        <v>793</v>
      </c>
      <c r="B215" s="86">
        <v>841</v>
      </c>
      <c r="C215" s="87">
        <v>7790670051015</v>
      </c>
      <c r="D215" s="88" t="s">
        <v>1370</v>
      </c>
      <c r="E215" s="89">
        <v>4420</v>
      </c>
      <c r="F215" s="89">
        <f>+E215*1.5/2</f>
        <v>3315</v>
      </c>
      <c r="G215" s="90">
        <f t="shared" si="1"/>
        <v>-1105</v>
      </c>
      <c r="H215" s="91">
        <v>0.25</v>
      </c>
      <c r="I215" s="86" t="s">
        <v>15</v>
      </c>
      <c r="J215" s="88" t="s">
        <v>654</v>
      </c>
      <c r="K215" s="92">
        <v>46205</v>
      </c>
      <c r="L215" s="92">
        <v>46234</v>
      </c>
      <c r="M215" s="6" t="s">
        <v>719</v>
      </c>
      <c r="N215" s="47"/>
      <c r="O215" s="47"/>
    </row>
    <row r="216" spans="1:15">
      <c r="A216" s="86">
        <v>665595</v>
      </c>
      <c r="B216" s="86">
        <v>2347</v>
      </c>
      <c r="C216" s="87">
        <v>7790670052791</v>
      </c>
      <c r="D216" s="88" t="s">
        <v>1366</v>
      </c>
      <c r="E216" s="89">
        <v>7820</v>
      </c>
      <c r="F216" s="89">
        <f>+E216*0.7</f>
        <v>5474</v>
      </c>
      <c r="G216" s="90">
        <f t="shared" si="1"/>
        <v>-2346</v>
      </c>
      <c r="H216" s="91">
        <v>0.3</v>
      </c>
      <c r="I216" s="86" t="s">
        <v>18</v>
      </c>
      <c r="J216" s="88" t="s">
        <v>94</v>
      </c>
      <c r="K216" s="92">
        <v>46205</v>
      </c>
      <c r="L216" s="92">
        <v>46234</v>
      </c>
      <c r="M216" s="6" t="s">
        <v>719</v>
      </c>
      <c r="N216" s="47"/>
      <c r="O216" s="47"/>
    </row>
    <row r="217" spans="1:15">
      <c r="A217" s="86">
        <v>10565</v>
      </c>
      <c r="B217" s="86">
        <v>315</v>
      </c>
      <c r="C217" s="87">
        <v>7790670050674</v>
      </c>
      <c r="D217" s="88" t="s">
        <v>1365</v>
      </c>
      <c r="E217" s="89">
        <v>4350</v>
      </c>
      <c r="F217" s="89">
        <f>+E217*0.7</f>
        <v>3045</v>
      </c>
      <c r="G217" s="90">
        <f t="shared" si="1"/>
        <v>-1305</v>
      </c>
      <c r="H217" s="91">
        <v>0.3</v>
      </c>
      <c r="I217" s="86" t="s">
        <v>18</v>
      </c>
      <c r="J217" s="88" t="s">
        <v>94</v>
      </c>
      <c r="K217" s="92">
        <v>46205</v>
      </c>
      <c r="L217" s="92">
        <v>46234</v>
      </c>
      <c r="M217" s="6" t="s">
        <v>719</v>
      </c>
      <c r="N217" s="47"/>
      <c r="O217" s="47"/>
    </row>
    <row r="218" spans="1:15">
      <c r="A218" s="86">
        <v>664380</v>
      </c>
      <c r="B218" s="86">
        <v>1815</v>
      </c>
      <c r="C218" s="87">
        <v>7790670052678</v>
      </c>
      <c r="D218" s="88" t="s">
        <v>1363</v>
      </c>
      <c r="E218" s="89">
        <v>6825</v>
      </c>
      <c r="F218" s="89">
        <f>+E218*0.75</f>
        <v>5118.75</v>
      </c>
      <c r="G218" s="90">
        <f t="shared" si="1"/>
        <v>-1706.25</v>
      </c>
      <c r="H218" s="91">
        <v>0.25</v>
      </c>
      <c r="I218" s="86" t="s">
        <v>18</v>
      </c>
      <c r="J218" s="88" t="s">
        <v>24</v>
      </c>
      <c r="K218" s="92">
        <v>46205</v>
      </c>
      <c r="L218" s="92">
        <v>46234</v>
      </c>
      <c r="M218" s="6" t="s">
        <v>719</v>
      </c>
      <c r="N218" s="47"/>
      <c r="O218" s="47"/>
    </row>
    <row r="219" spans="1:15">
      <c r="A219" s="86">
        <v>7562</v>
      </c>
      <c r="B219" s="86">
        <v>282</v>
      </c>
      <c r="C219" s="87">
        <v>7790670050728</v>
      </c>
      <c r="D219" s="88" t="s">
        <v>1371</v>
      </c>
      <c r="E219" s="89">
        <v>2980</v>
      </c>
      <c r="F219" s="89">
        <f>+E219*1.5/2</f>
        <v>2235</v>
      </c>
      <c r="G219" s="90">
        <f t="shared" si="1"/>
        <v>-745</v>
      </c>
      <c r="H219" s="91">
        <v>0.25</v>
      </c>
      <c r="I219" s="86" t="s">
        <v>15</v>
      </c>
      <c r="J219" s="88" t="s">
        <v>654</v>
      </c>
      <c r="K219" s="92">
        <v>46205</v>
      </c>
      <c r="L219" s="92">
        <v>46234</v>
      </c>
      <c r="M219" s="6" t="s">
        <v>719</v>
      </c>
      <c r="N219" s="47"/>
      <c r="O219" s="47"/>
    </row>
    <row r="220" spans="1:15">
      <c r="A220">
        <v>12379</v>
      </c>
      <c r="B220">
        <v>30616</v>
      </c>
      <c r="C220" s="64">
        <v>7791885001208</v>
      </c>
      <c r="D220" t="s">
        <v>301</v>
      </c>
      <c r="E220" s="47">
        <v>1998.75</v>
      </c>
      <c r="F220" s="47">
        <v>1599</v>
      </c>
      <c r="G220" s="54">
        <v>-399.75</v>
      </c>
      <c r="H220" s="62">
        <v>0.2</v>
      </c>
      <c r="I220" t="s">
        <v>113</v>
      </c>
      <c r="J220" t="s">
        <v>75</v>
      </c>
      <c r="K220" s="63">
        <v>46204</v>
      </c>
      <c r="L220" s="63">
        <v>46234</v>
      </c>
      <c r="M220" t="s">
        <v>63</v>
      </c>
    </row>
    <row r="221" spans="1:15">
      <c r="A221">
        <v>12380</v>
      </c>
      <c r="B221">
        <v>30617</v>
      </c>
      <c r="C221" s="64">
        <v>7791885001550</v>
      </c>
      <c r="D221" t="s">
        <v>302</v>
      </c>
      <c r="E221" s="47">
        <v>1998.75</v>
      </c>
      <c r="F221" s="47">
        <v>1599</v>
      </c>
      <c r="G221" s="54">
        <v>-399.75</v>
      </c>
      <c r="H221" s="62">
        <v>0.2</v>
      </c>
      <c r="I221" t="s">
        <v>113</v>
      </c>
      <c r="J221" t="s">
        <v>75</v>
      </c>
      <c r="K221" s="63">
        <v>46204</v>
      </c>
      <c r="L221" s="63">
        <v>46234</v>
      </c>
      <c r="M221" t="s">
        <v>63</v>
      </c>
    </row>
    <row r="222" spans="1:15">
      <c r="A222" s="86">
        <v>666398</v>
      </c>
      <c r="B222" s="86">
        <v>2854</v>
      </c>
      <c r="C222" s="87">
        <v>7891515629465</v>
      </c>
      <c r="D222" s="88" t="s">
        <v>1364</v>
      </c>
      <c r="E222" s="89">
        <v>15650</v>
      </c>
      <c r="F222" s="89">
        <f>+E222*0.75</f>
        <v>11737.5</v>
      </c>
      <c r="G222" s="90">
        <f>+F222-E222</f>
        <v>-3912.5</v>
      </c>
      <c r="H222" s="91">
        <v>0.25</v>
      </c>
      <c r="I222" s="86" t="s">
        <v>18</v>
      </c>
      <c r="J222" s="88" t="s">
        <v>24</v>
      </c>
      <c r="K222" s="92">
        <v>46205</v>
      </c>
      <c r="L222" s="92">
        <v>46234</v>
      </c>
      <c r="M222" s="6" t="s">
        <v>719</v>
      </c>
      <c r="N222" s="47"/>
      <c r="O222" s="47"/>
    </row>
    <row r="223" spans="1:15">
      <c r="A223" s="86">
        <v>660467</v>
      </c>
      <c r="B223" s="86">
        <v>1046</v>
      </c>
      <c r="C223" s="87">
        <v>7891515547066</v>
      </c>
      <c r="D223" s="88" t="s">
        <v>1367</v>
      </c>
      <c r="E223" s="89">
        <v>13400</v>
      </c>
      <c r="F223" s="89">
        <f>+E223*1.5/2</f>
        <v>10050</v>
      </c>
      <c r="G223" s="90">
        <f>+F223-E223</f>
        <v>-3350</v>
      </c>
      <c r="H223" s="91">
        <v>0.25</v>
      </c>
      <c r="I223" s="86" t="s">
        <v>15</v>
      </c>
      <c r="J223" s="88" t="s">
        <v>654</v>
      </c>
      <c r="K223" s="92">
        <v>46205</v>
      </c>
      <c r="L223" s="92">
        <v>46234</v>
      </c>
      <c r="M223" s="6" t="s">
        <v>719</v>
      </c>
      <c r="N223" s="47"/>
      <c r="O223" s="47"/>
    </row>
    <row r="224" spans="1:15">
      <c r="A224">
        <v>4845</v>
      </c>
      <c r="B224">
        <v>9549506</v>
      </c>
      <c r="C224" s="64">
        <v>7590002018149</v>
      </c>
      <c r="D224" t="s">
        <v>303</v>
      </c>
      <c r="E224" s="47">
        <v>2498.75</v>
      </c>
      <c r="F224" s="47">
        <v>1999</v>
      </c>
      <c r="G224" s="54">
        <v>-499.75</v>
      </c>
      <c r="H224" s="62">
        <v>0.2</v>
      </c>
      <c r="I224" t="s">
        <v>113</v>
      </c>
      <c r="J224" t="s">
        <v>75</v>
      </c>
      <c r="K224" s="63">
        <v>46204</v>
      </c>
      <c r="L224" s="63">
        <v>46234</v>
      </c>
      <c r="M224" t="s">
        <v>139</v>
      </c>
    </row>
    <row r="225" spans="1:15">
      <c r="A225">
        <v>14266</v>
      </c>
      <c r="B225">
        <v>6253</v>
      </c>
      <c r="C225" s="64">
        <v>7793940446009</v>
      </c>
      <c r="D225" t="s">
        <v>304</v>
      </c>
      <c r="E225" s="47">
        <v>3937.5</v>
      </c>
      <c r="F225" s="47">
        <v>3150</v>
      </c>
      <c r="G225" s="54">
        <v>-787.5</v>
      </c>
      <c r="H225" s="62">
        <v>0.2</v>
      </c>
      <c r="I225" t="s">
        <v>113</v>
      </c>
      <c r="J225" t="s">
        <v>75</v>
      </c>
      <c r="K225" s="63">
        <v>46204</v>
      </c>
      <c r="L225" s="63">
        <v>46234</v>
      </c>
      <c r="M225" t="s">
        <v>140</v>
      </c>
    </row>
    <row r="226" spans="1:15">
      <c r="A226">
        <v>3543</v>
      </c>
      <c r="B226">
        <v>6252</v>
      </c>
      <c r="C226" s="64">
        <v>7790742140609</v>
      </c>
      <c r="D226" t="s">
        <v>305</v>
      </c>
      <c r="E226" s="47">
        <v>4312.5</v>
      </c>
      <c r="F226" s="47">
        <v>3450</v>
      </c>
      <c r="G226" s="54">
        <v>-862.5</v>
      </c>
      <c r="H226" s="62">
        <v>0.2</v>
      </c>
      <c r="I226" t="s">
        <v>113</v>
      </c>
      <c r="J226" t="s">
        <v>75</v>
      </c>
      <c r="K226" s="63">
        <v>46204</v>
      </c>
      <c r="L226" s="63">
        <v>46234</v>
      </c>
      <c r="M226" t="s">
        <v>140</v>
      </c>
    </row>
    <row r="227" spans="1:15">
      <c r="A227" s="23">
        <v>8551</v>
      </c>
      <c r="B227" s="23">
        <v>5048</v>
      </c>
      <c r="C227" s="22">
        <v>7790580504809</v>
      </c>
      <c r="D227" s="5" t="s">
        <v>262</v>
      </c>
      <c r="E227" s="24">
        <v>2628.41</v>
      </c>
      <c r="F227" s="26">
        <v>2365.569</v>
      </c>
      <c r="G227" s="31">
        <v>-262.84099999999989</v>
      </c>
      <c r="H227" s="28">
        <v>0.1</v>
      </c>
      <c r="I227" s="3" t="s">
        <v>18</v>
      </c>
      <c r="J227" s="3" t="s">
        <v>23</v>
      </c>
      <c r="K227" s="29">
        <v>46204</v>
      </c>
      <c r="L227" s="6">
        <v>46234</v>
      </c>
      <c r="M227" s="6" t="s">
        <v>63</v>
      </c>
      <c r="N227" s="47"/>
      <c r="O227" s="47"/>
    </row>
    <row r="228" spans="1:15">
      <c r="A228" s="23">
        <v>8552</v>
      </c>
      <c r="B228" s="23">
        <v>5044</v>
      </c>
      <c r="C228" s="22">
        <v>7790580504410</v>
      </c>
      <c r="D228" s="5" t="s">
        <v>260</v>
      </c>
      <c r="E228" s="24">
        <v>2628.41</v>
      </c>
      <c r="F228" s="26">
        <v>2365.569</v>
      </c>
      <c r="G228" s="31">
        <v>-262.84099999999989</v>
      </c>
      <c r="H228" s="28">
        <v>0.1</v>
      </c>
      <c r="I228" s="3" t="s">
        <v>18</v>
      </c>
      <c r="J228" s="3" t="s">
        <v>23</v>
      </c>
      <c r="K228" s="29">
        <v>46204</v>
      </c>
      <c r="L228" s="6">
        <v>46234</v>
      </c>
      <c r="M228" s="6" t="s">
        <v>63</v>
      </c>
      <c r="N228" s="47"/>
      <c r="O228" s="47"/>
    </row>
    <row r="229" spans="1:15">
      <c r="A229" s="23">
        <v>8555</v>
      </c>
      <c r="B229" s="23">
        <v>5046</v>
      </c>
      <c r="C229" s="22">
        <v>7790580504601</v>
      </c>
      <c r="D229" s="5" t="s">
        <v>261</v>
      </c>
      <c r="E229" s="24">
        <v>3061.41</v>
      </c>
      <c r="F229" s="26">
        <v>2755.2689999999998</v>
      </c>
      <c r="G229" s="31">
        <v>-306.14100000000008</v>
      </c>
      <c r="H229" s="28">
        <v>0.1</v>
      </c>
      <c r="I229" s="3" t="s">
        <v>18</v>
      </c>
      <c r="J229" s="3" t="s">
        <v>23</v>
      </c>
      <c r="K229" s="29">
        <v>46204</v>
      </c>
      <c r="L229" s="6">
        <v>46234</v>
      </c>
      <c r="M229" s="6" t="s">
        <v>63</v>
      </c>
      <c r="N229" s="47"/>
      <c r="O229" s="47"/>
    </row>
    <row r="230" spans="1:15">
      <c r="A230" s="23">
        <v>3931</v>
      </c>
      <c r="B230" s="23">
        <v>1867</v>
      </c>
      <c r="C230" s="22">
        <v>7792900009223</v>
      </c>
      <c r="D230" s="5" t="s">
        <v>69</v>
      </c>
      <c r="E230" s="24">
        <v>1129.501</v>
      </c>
      <c r="F230" s="26">
        <v>960.07584999999995</v>
      </c>
      <c r="G230" s="31">
        <v>-169.42515000000003</v>
      </c>
      <c r="H230" s="28">
        <v>0.15</v>
      </c>
      <c r="I230" s="3" t="s">
        <v>18</v>
      </c>
      <c r="J230" s="3" t="s">
        <v>70</v>
      </c>
      <c r="K230" s="29">
        <v>46204</v>
      </c>
      <c r="L230" s="6">
        <v>46234</v>
      </c>
      <c r="M230" s="6" t="s">
        <v>63</v>
      </c>
      <c r="N230" s="47"/>
      <c r="O230" s="47"/>
    </row>
    <row r="231" spans="1:15">
      <c r="A231" s="23">
        <v>3790</v>
      </c>
      <c r="B231" s="23">
        <v>1347</v>
      </c>
      <c r="C231" s="22">
        <v>7792900093048</v>
      </c>
      <c r="D231" s="5" t="s">
        <v>72</v>
      </c>
      <c r="E231" s="24">
        <v>1235.105</v>
      </c>
      <c r="F231" s="26">
        <v>1049.83925</v>
      </c>
      <c r="G231" s="31">
        <v>-185.26575000000003</v>
      </c>
      <c r="H231" s="28">
        <v>0.15</v>
      </c>
      <c r="I231" s="3" t="s">
        <v>18</v>
      </c>
      <c r="J231" s="3" t="s">
        <v>70</v>
      </c>
      <c r="K231" s="29">
        <v>46204</v>
      </c>
      <c r="L231" s="6">
        <v>46234</v>
      </c>
      <c r="M231" s="6" t="s">
        <v>63</v>
      </c>
      <c r="N231" s="47"/>
      <c r="O231" s="47"/>
    </row>
    <row r="232" spans="1:15">
      <c r="A232" s="23">
        <v>661911</v>
      </c>
      <c r="B232" s="23">
        <v>1194</v>
      </c>
      <c r="C232" s="22">
        <v>7792900990552</v>
      </c>
      <c r="D232" s="5" t="s">
        <v>71</v>
      </c>
      <c r="E232" s="24">
        <v>1996.2940000000001</v>
      </c>
      <c r="F232" s="26">
        <v>1696.8498999999999</v>
      </c>
      <c r="G232" s="31">
        <v>-299.44410000000016</v>
      </c>
      <c r="H232" s="28">
        <v>0.15</v>
      </c>
      <c r="I232" s="3" t="s">
        <v>18</v>
      </c>
      <c r="J232" s="3" t="s">
        <v>70</v>
      </c>
      <c r="K232" s="29">
        <v>46204</v>
      </c>
      <c r="L232" s="6">
        <v>46234</v>
      </c>
      <c r="M232" s="6" t="s">
        <v>63</v>
      </c>
      <c r="N232" s="47"/>
      <c r="O232" s="47"/>
    </row>
    <row r="233" spans="1:15">
      <c r="A233">
        <v>3781</v>
      </c>
      <c r="B233">
        <v>12101</v>
      </c>
      <c r="C233" s="64">
        <v>2003781000000</v>
      </c>
      <c r="D233" t="s">
        <v>325</v>
      </c>
      <c r="E233" s="47">
        <v>13300</v>
      </c>
      <c r="F233" s="47">
        <v>13300</v>
      </c>
      <c r="G233" s="54">
        <v>0</v>
      </c>
      <c r="H233" s="62"/>
      <c r="J233" t="s">
        <v>157</v>
      </c>
      <c r="K233" s="63">
        <v>46204</v>
      </c>
      <c r="L233" s="63">
        <v>46234</v>
      </c>
      <c r="M233" t="s">
        <v>326</v>
      </c>
    </row>
    <row r="234" spans="1:15">
      <c r="A234">
        <v>19639</v>
      </c>
      <c r="B234">
        <v>32032</v>
      </c>
      <c r="C234" s="64">
        <v>7790070320322</v>
      </c>
      <c r="D234" t="s">
        <v>306</v>
      </c>
      <c r="E234" s="47">
        <v>1062.5</v>
      </c>
      <c r="F234" s="47">
        <v>850</v>
      </c>
      <c r="G234" s="54">
        <v>-212.5</v>
      </c>
      <c r="H234" s="62">
        <v>0.2</v>
      </c>
      <c r="I234" t="s">
        <v>113</v>
      </c>
      <c r="J234" t="s">
        <v>75</v>
      </c>
      <c r="K234" s="63">
        <v>46204</v>
      </c>
      <c r="L234" s="63">
        <v>46234</v>
      </c>
      <c r="M234" t="s">
        <v>63</v>
      </c>
    </row>
    <row r="235" spans="1:15">
      <c r="A235">
        <v>19637</v>
      </c>
      <c r="B235">
        <v>32031</v>
      </c>
      <c r="C235" s="64">
        <v>7790070320315</v>
      </c>
      <c r="D235" t="s">
        <v>307</v>
      </c>
      <c r="E235" s="47">
        <v>1062.5</v>
      </c>
      <c r="F235" s="47">
        <v>850</v>
      </c>
      <c r="G235" s="54">
        <v>-212.5</v>
      </c>
      <c r="H235" s="62">
        <v>0.2</v>
      </c>
      <c r="I235" t="s">
        <v>113</v>
      </c>
      <c r="J235" t="s">
        <v>75</v>
      </c>
      <c r="K235" s="63">
        <v>46204</v>
      </c>
      <c r="L235" s="63">
        <v>46234</v>
      </c>
      <c r="M235" t="s">
        <v>63</v>
      </c>
    </row>
    <row r="236" spans="1:15">
      <c r="A236">
        <v>19640</v>
      </c>
      <c r="B236">
        <v>32028</v>
      </c>
      <c r="C236" s="64">
        <v>7790070320285</v>
      </c>
      <c r="D236" t="s">
        <v>308</v>
      </c>
      <c r="E236" s="47">
        <v>1062.5</v>
      </c>
      <c r="F236" s="47">
        <v>850</v>
      </c>
      <c r="G236" s="54">
        <v>-212.5</v>
      </c>
      <c r="H236" s="62">
        <v>0.2</v>
      </c>
      <c r="I236" t="s">
        <v>113</v>
      </c>
      <c r="J236" t="s">
        <v>75</v>
      </c>
      <c r="K236" s="63">
        <v>46204</v>
      </c>
      <c r="L236" s="63">
        <v>46234</v>
      </c>
      <c r="M236" t="s">
        <v>63</v>
      </c>
    </row>
    <row r="237" spans="1:15">
      <c r="A237">
        <v>19641</v>
      </c>
      <c r="B237">
        <v>32029</v>
      </c>
      <c r="C237" s="64">
        <v>7790070320292</v>
      </c>
      <c r="D237" t="s">
        <v>309</v>
      </c>
      <c r="E237" s="47">
        <v>1062.5</v>
      </c>
      <c r="F237" s="47">
        <v>850</v>
      </c>
      <c r="G237" s="54">
        <v>-212.5</v>
      </c>
      <c r="H237" s="62">
        <v>0.2</v>
      </c>
      <c r="I237" t="s">
        <v>113</v>
      </c>
      <c r="J237" t="s">
        <v>75</v>
      </c>
      <c r="K237" s="63">
        <v>46204</v>
      </c>
      <c r="L237" s="63">
        <v>46234</v>
      </c>
      <c r="M237" t="s">
        <v>63</v>
      </c>
    </row>
    <row r="238" spans="1:15">
      <c r="A238">
        <v>19638</v>
      </c>
      <c r="B238">
        <v>32030</v>
      </c>
      <c r="C238" s="64">
        <v>7790070320308</v>
      </c>
      <c r="D238" t="s">
        <v>310</v>
      </c>
      <c r="E238" s="47">
        <v>1062.5</v>
      </c>
      <c r="F238" s="47">
        <v>850</v>
      </c>
      <c r="G238" s="54">
        <v>-212.5</v>
      </c>
      <c r="H238" s="62">
        <v>0.2</v>
      </c>
      <c r="I238" t="s">
        <v>113</v>
      </c>
      <c r="J238" t="s">
        <v>75</v>
      </c>
      <c r="K238" s="63">
        <v>46204</v>
      </c>
      <c r="L238" s="63">
        <v>46234</v>
      </c>
      <c r="M238" t="s">
        <v>63</v>
      </c>
    </row>
    <row r="239" spans="1:15">
      <c r="A239" s="3">
        <v>664318</v>
      </c>
      <c r="B239" s="4">
        <v>33639</v>
      </c>
      <c r="C239" s="2">
        <v>7790070336392</v>
      </c>
      <c r="D239" s="1" t="s">
        <v>286</v>
      </c>
      <c r="E239" s="32">
        <v>1618.9659999999999</v>
      </c>
      <c r="F239" s="33">
        <v>1457.0693999999999</v>
      </c>
      <c r="G239" s="31">
        <v>-161.89660000000003</v>
      </c>
      <c r="H239" s="28">
        <v>0.1</v>
      </c>
      <c r="I239" s="3" t="s">
        <v>18</v>
      </c>
      <c r="J239" s="3" t="s">
        <v>23</v>
      </c>
      <c r="K239" s="29">
        <v>46204</v>
      </c>
      <c r="L239" s="29">
        <v>46215</v>
      </c>
      <c r="M239" s="6" t="s">
        <v>63</v>
      </c>
      <c r="N239" s="47"/>
      <c r="O239" s="47"/>
    </row>
    <row r="240" spans="1:15">
      <c r="A240" s="3">
        <v>4082</v>
      </c>
      <c r="B240" s="4">
        <v>31834</v>
      </c>
      <c r="C240" s="2">
        <v>7795907000361</v>
      </c>
      <c r="D240" s="1" t="s">
        <v>282</v>
      </c>
      <c r="E240" s="32">
        <v>1620.027</v>
      </c>
      <c r="F240" s="33">
        <v>1458.0243</v>
      </c>
      <c r="G240" s="31">
        <v>-162.0027</v>
      </c>
      <c r="H240" s="28">
        <v>0.1</v>
      </c>
      <c r="I240" s="3" t="s">
        <v>18</v>
      </c>
      <c r="J240" s="3" t="s">
        <v>23</v>
      </c>
      <c r="K240" s="29">
        <v>46204</v>
      </c>
      <c r="L240" s="29">
        <v>46215</v>
      </c>
      <c r="M240" s="6" t="s">
        <v>63</v>
      </c>
      <c r="N240" s="47"/>
      <c r="O240" s="47"/>
    </row>
    <row r="241" spans="1:15">
      <c r="A241" s="3">
        <v>664315</v>
      </c>
      <c r="B241" s="4">
        <v>33638</v>
      </c>
      <c r="C241" s="2">
        <v>7790070336385</v>
      </c>
      <c r="D241" s="1" t="s">
        <v>277</v>
      </c>
      <c r="E241" s="32">
        <v>1620.027</v>
      </c>
      <c r="F241" s="33">
        <v>1458.0243</v>
      </c>
      <c r="G241" s="31">
        <v>-162.0027</v>
      </c>
      <c r="H241" s="28">
        <v>0.1</v>
      </c>
      <c r="I241" s="3" t="s">
        <v>18</v>
      </c>
      <c r="J241" s="3" t="s">
        <v>23</v>
      </c>
      <c r="K241" s="29">
        <v>46204</v>
      </c>
      <c r="L241" s="29">
        <v>46215</v>
      </c>
      <c r="M241" s="6" t="s">
        <v>63</v>
      </c>
      <c r="N241" s="47"/>
      <c r="O241" s="47"/>
    </row>
    <row r="242" spans="1:15">
      <c r="A242" s="3">
        <v>4088</v>
      </c>
      <c r="B242" s="4">
        <v>33611</v>
      </c>
      <c r="C242" s="2">
        <v>7795907000392</v>
      </c>
      <c r="D242" s="1" t="s">
        <v>276</v>
      </c>
      <c r="E242" s="32">
        <v>1620.027</v>
      </c>
      <c r="F242" s="33">
        <v>1458.0243</v>
      </c>
      <c r="G242" s="31">
        <v>-162.0027</v>
      </c>
      <c r="H242" s="28">
        <v>0.1</v>
      </c>
      <c r="I242" s="3" t="s">
        <v>18</v>
      </c>
      <c r="J242" s="3" t="s">
        <v>23</v>
      </c>
      <c r="K242" s="29">
        <v>46204</v>
      </c>
      <c r="L242" s="29">
        <v>46215</v>
      </c>
      <c r="M242" s="6" t="s">
        <v>63</v>
      </c>
      <c r="N242" s="47"/>
      <c r="O242" s="47"/>
    </row>
    <row r="243" spans="1:15">
      <c r="A243" s="3">
        <v>4089</v>
      </c>
      <c r="B243" s="4">
        <v>33812</v>
      </c>
      <c r="C243" s="2">
        <v>7795907000316</v>
      </c>
      <c r="D243" s="1" t="s">
        <v>278</v>
      </c>
      <c r="E243" s="32">
        <v>1620.027</v>
      </c>
      <c r="F243" s="33">
        <v>1458.0243</v>
      </c>
      <c r="G243" s="31">
        <v>-162.0027</v>
      </c>
      <c r="H243" s="28">
        <v>0.1</v>
      </c>
      <c r="I243" s="3" t="s">
        <v>18</v>
      </c>
      <c r="J243" s="3" t="s">
        <v>23</v>
      </c>
      <c r="K243" s="29">
        <v>46204</v>
      </c>
      <c r="L243" s="29">
        <v>46215</v>
      </c>
      <c r="M243" s="6" t="s">
        <v>63</v>
      </c>
      <c r="N243" s="47"/>
      <c r="O243" s="47"/>
    </row>
    <row r="244" spans="1:15">
      <c r="A244" s="3">
        <v>664242</v>
      </c>
      <c r="B244" s="4">
        <v>33614</v>
      </c>
      <c r="C244" s="2">
        <v>7790070336149</v>
      </c>
      <c r="D244" s="1" t="s">
        <v>280</v>
      </c>
      <c r="E244" s="32">
        <v>1620.027</v>
      </c>
      <c r="F244" s="33">
        <v>1458.0243</v>
      </c>
      <c r="G244" s="31">
        <v>-162.0027</v>
      </c>
      <c r="H244" s="28">
        <v>0.1</v>
      </c>
      <c r="I244" s="3" t="s">
        <v>18</v>
      </c>
      <c r="J244" s="3" t="s">
        <v>23</v>
      </c>
      <c r="K244" s="29">
        <v>46204</v>
      </c>
      <c r="L244" s="29">
        <v>46215</v>
      </c>
      <c r="M244" s="6" t="s">
        <v>63</v>
      </c>
      <c r="N244" s="47"/>
      <c r="O244" s="47"/>
    </row>
    <row r="245" spans="1:15">
      <c r="A245" s="3">
        <v>4092</v>
      </c>
      <c r="B245" s="4">
        <v>31861</v>
      </c>
      <c r="C245" s="2">
        <v>7790230040176</v>
      </c>
      <c r="D245" s="1" t="s">
        <v>288</v>
      </c>
      <c r="E245" s="32">
        <v>1895.1790000000001</v>
      </c>
      <c r="F245" s="33">
        <v>1705.6611</v>
      </c>
      <c r="G245" s="31">
        <v>-189.51790000000005</v>
      </c>
      <c r="H245" s="28">
        <v>0.1</v>
      </c>
      <c r="I245" s="3" t="s">
        <v>18</v>
      </c>
      <c r="J245" s="3" t="s">
        <v>23</v>
      </c>
      <c r="K245" s="29">
        <v>46204</v>
      </c>
      <c r="L245" s="29">
        <v>46215</v>
      </c>
      <c r="M245" s="6" t="s">
        <v>63</v>
      </c>
      <c r="N245" s="47"/>
      <c r="O245" s="47"/>
    </row>
    <row r="246" spans="1:15">
      <c r="A246" s="3">
        <v>4104</v>
      </c>
      <c r="B246" s="4">
        <v>33630</v>
      </c>
      <c r="C246" s="2">
        <v>7790230040114</v>
      </c>
      <c r="D246" s="1" t="s">
        <v>283</v>
      </c>
      <c r="E246" s="32">
        <v>1895.1790000000001</v>
      </c>
      <c r="F246" s="33">
        <v>1705.6611</v>
      </c>
      <c r="G246" s="31">
        <v>-189.51790000000005</v>
      </c>
      <c r="H246" s="28">
        <v>0.1</v>
      </c>
      <c r="I246" s="3" t="s">
        <v>18</v>
      </c>
      <c r="J246" s="3" t="s">
        <v>23</v>
      </c>
      <c r="K246" s="29">
        <v>46204</v>
      </c>
      <c r="L246" s="29">
        <v>46215</v>
      </c>
      <c r="M246" s="6" t="s">
        <v>63</v>
      </c>
      <c r="N246" s="47"/>
      <c r="O246" s="47"/>
    </row>
    <row r="247" spans="1:15">
      <c r="A247" s="3">
        <v>4097</v>
      </c>
      <c r="B247" s="4">
        <v>33631</v>
      </c>
      <c r="C247" s="2">
        <v>7790230034007</v>
      </c>
      <c r="D247" s="1" t="s">
        <v>287</v>
      </c>
      <c r="E247" s="32">
        <v>1895.1790000000001</v>
      </c>
      <c r="F247" s="33">
        <v>1705.6611</v>
      </c>
      <c r="G247" s="31">
        <v>-189.51790000000005</v>
      </c>
      <c r="H247" s="28">
        <v>0.1</v>
      </c>
      <c r="I247" s="3" t="s">
        <v>18</v>
      </c>
      <c r="J247" s="3" t="s">
        <v>23</v>
      </c>
      <c r="K247" s="29">
        <v>46204</v>
      </c>
      <c r="L247" s="29">
        <v>46215</v>
      </c>
      <c r="M247" s="6" t="s">
        <v>63</v>
      </c>
      <c r="N247" s="47"/>
      <c r="O247" s="47"/>
    </row>
    <row r="248" spans="1:15">
      <c r="A248" s="3">
        <v>4105</v>
      </c>
      <c r="B248" s="4">
        <v>33629</v>
      </c>
      <c r="C248" s="2">
        <v>7790230040121</v>
      </c>
      <c r="D248" s="1" t="s">
        <v>284</v>
      </c>
      <c r="E248" s="32">
        <v>1895.1790000000001</v>
      </c>
      <c r="F248" s="33">
        <v>1705.6611</v>
      </c>
      <c r="G248" s="31">
        <v>-189.51790000000005</v>
      </c>
      <c r="H248" s="28">
        <v>0.1</v>
      </c>
      <c r="I248" s="3" t="s">
        <v>18</v>
      </c>
      <c r="J248" s="3" t="s">
        <v>23</v>
      </c>
      <c r="K248" s="29">
        <v>46204</v>
      </c>
      <c r="L248" s="29">
        <v>46215</v>
      </c>
      <c r="M248" s="6" t="s">
        <v>63</v>
      </c>
      <c r="N248" s="47"/>
      <c r="O248" s="47"/>
    </row>
    <row r="249" spans="1:15">
      <c r="A249" s="3">
        <v>664319</v>
      </c>
      <c r="B249" s="4">
        <v>33632</v>
      </c>
      <c r="C249" s="2">
        <v>7790070336323</v>
      </c>
      <c r="D249" s="1" t="s">
        <v>289</v>
      </c>
      <c r="E249" s="32">
        <v>1895.1790000000001</v>
      </c>
      <c r="F249" s="33">
        <v>1705.6611</v>
      </c>
      <c r="G249" s="31">
        <v>-189.51790000000005</v>
      </c>
      <c r="H249" s="28">
        <v>0.1</v>
      </c>
      <c r="I249" s="3" t="s">
        <v>18</v>
      </c>
      <c r="J249" s="3" t="s">
        <v>23</v>
      </c>
      <c r="K249" s="29">
        <v>46204</v>
      </c>
      <c r="L249" s="6">
        <v>46215</v>
      </c>
      <c r="M249" s="6" t="s">
        <v>63</v>
      </c>
      <c r="N249" s="47"/>
      <c r="O249" s="47"/>
    </row>
    <row r="250" spans="1:15">
      <c r="A250" s="3">
        <v>664234</v>
      </c>
      <c r="B250" s="4">
        <v>33621</v>
      </c>
      <c r="C250" s="2">
        <v>7790070336217</v>
      </c>
      <c r="D250" s="1" t="s">
        <v>285</v>
      </c>
      <c r="E250" s="32">
        <v>1895.1790000000001</v>
      </c>
      <c r="F250" s="33">
        <v>1705.6611</v>
      </c>
      <c r="G250" s="31">
        <v>-189.51790000000005</v>
      </c>
      <c r="H250" s="28">
        <v>0.1</v>
      </c>
      <c r="I250" s="3" t="s">
        <v>18</v>
      </c>
      <c r="J250" s="3" t="s">
        <v>23</v>
      </c>
      <c r="K250" s="29">
        <v>46204</v>
      </c>
      <c r="L250" s="29">
        <v>46215</v>
      </c>
      <c r="M250" s="6" t="s">
        <v>63</v>
      </c>
      <c r="N250" s="47"/>
      <c r="O250" s="47"/>
    </row>
    <row r="251" spans="1:15">
      <c r="A251">
        <v>2422</v>
      </c>
      <c r="B251">
        <v>9</v>
      </c>
      <c r="C251" s="64">
        <v>2002422000000</v>
      </c>
      <c r="D251" t="s">
        <v>327</v>
      </c>
      <c r="E251" s="47">
        <v>12200</v>
      </c>
      <c r="F251" s="47">
        <v>12200</v>
      </c>
      <c r="G251" s="54">
        <v>0</v>
      </c>
      <c r="H251" s="62"/>
      <c r="J251" t="s">
        <v>157</v>
      </c>
      <c r="K251" s="63">
        <v>46204</v>
      </c>
      <c r="L251" s="63">
        <v>46234</v>
      </c>
      <c r="M251" t="s">
        <v>326</v>
      </c>
    </row>
    <row r="252" spans="1:15">
      <c r="A252" s="3">
        <v>20406</v>
      </c>
      <c r="B252" s="4">
        <v>7024237</v>
      </c>
      <c r="C252" s="2" t="s">
        <v>184</v>
      </c>
      <c r="D252" s="1" t="s">
        <v>53</v>
      </c>
      <c r="E252" s="32">
        <v>1999.99</v>
      </c>
      <c r="F252" s="33">
        <v>1499.9925000000001</v>
      </c>
      <c r="G252" s="31">
        <v>-499.99749999999995</v>
      </c>
      <c r="H252" s="28">
        <v>0.25</v>
      </c>
      <c r="I252" s="3" t="s">
        <v>15</v>
      </c>
      <c r="J252" s="3" t="s">
        <v>19</v>
      </c>
      <c r="K252" s="29">
        <v>46204</v>
      </c>
      <c r="L252" s="6">
        <v>46234</v>
      </c>
      <c r="M252" s="6" t="s">
        <v>60</v>
      </c>
      <c r="N252" s="47"/>
      <c r="O252" s="47"/>
    </row>
    <row r="253" spans="1:15">
      <c r="A253" s="3">
        <v>662036</v>
      </c>
      <c r="B253" s="4">
        <v>7025832</v>
      </c>
      <c r="C253" s="2" t="s">
        <v>189</v>
      </c>
      <c r="D253" s="1" t="s">
        <v>58</v>
      </c>
      <c r="E253" s="32">
        <v>2199.9899999999998</v>
      </c>
      <c r="F253" s="33">
        <v>1649.9924999999998</v>
      </c>
      <c r="G253" s="31">
        <v>-549.99749999999995</v>
      </c>
      <c r="H253" s="28">
        <v>0.25</v>
      </c>
      <c r="I253" s="3" t="s">
        <v>15</v>
      </c>
      <c r="J253" s="3" t="s">
        <v>19</v>
      </c>
      <c r="K253" s="29">
        <v>46204</v>
      </c>
      <c r="L253" s="6">
        <v>46234</v>
      </c>
      <c r="M253" s="6" t="s">
        <v>60</v>
      </c>
      <c r="N253" s="47"/>
      <c r="O253" s="47"/>
    </row>
    <row r="254" spans="1:15">
      <c r="A254" s="3">
        <v>20400</v>
      </c>
      <c r="B254" s="4">
        <v>7024224</v>
      </c>
      <c r="C254" s="2" t="s">
        <v>187</v>
      </c>
      <c r="D254" s="1" t="s">
        <v>56</v>
      </c>
      <c r="E254" s="32">
        <v>1199.99</v>
      </c>
      <c r="F254" s="33">
        <v>899.99250000000006</v>
      </c>
      <c r="G254" s="31">
        <v>-299.99749999999995</v>
      </c>
      <c r="H254" s="28">
        <v>0.25</v>
      </c>
      <c r="I254" s="3" t="s">
        <v>15</v>
      </c>
      <c r="J254" s="3" t="s">
        <v>19</v>
      </c>
      <c r="K254" s="29">
        <v>46204</v>
      </c>
      <c r="L254" s="6">
        <v>46234</v>
      </c>
      <c r="M254" s="6" t="s">
        <v>60</v>
      </c>
      <c r="N254" s="47"/>
      <c r="O254" s="47"/>
    </row>
    <row r="255" spans="1:15">
      <c r="A255" s="3">
        <v>20402</v>
      </c>
      <c r="B255" s="4">
        <v>7022953</v>
      </c>
      <c r="C255" s="2" t="s">
        <v>186</v>
      </c>
      <c r="D255" s="1" t="s">
        <v>55</v>
      </c>
      <c r="E255" s="32">
        <v>1399.99</v>
      </c>
      <c r="F255" s="33">
        <v>1049.9925000000001</v>
      </c>
      <c r="G255" s="31">
        <v>-349.99749999999995</v>
      </c>
      <c r="H255" s="28">
        <v>0.25</v>
      </c>
      <c r="I255" s="3" t="s">
        <v>15</v>
      </c>
      <c r="J255" s="3" t="s">
        <v>19</v>
      </c>
      <c r="K255" s="29">
        <v>46204</v>
      </c>
      <c r="L255" s="6">
        <v>46234</v>
      </c>
      <c r="M255" s="6" t="s">
        <v>60</v>
      </c>
      <c r="N255" s="47"/>
      <c r="O255" s="47"/>
    </row>
    <row r="256" spans="1:15">
      <c r="A256" s="3">
        <v>20404</v>
      </c>
      <c r="B256" s="4">
        <v>7022955</v>
      </c>
      <c r="C256" s="2" t="s">
        <v>185</v>
      </c>
      <c r="D256" s="1" t="s">
        <v>54</v>
      </c>
      <c r="E256" s="32">
        <v>1799.99</v>
      </c>
      <c r="F256" s="33">
        <v>1349.9925000000001</v>
      </c>
      <c r="G256" s="31">
        <v>-449.99749999999995</v>
      </c>
      <c r="H256" s="28">
        <v>0.25</v>
      </c>
      <c r="I256" s="3" t="s">
        <v>15</v>
      </c>
      <c r="J256" s="3" t="s">
        <v>19</v>
      </c>
      <c r="K256" s="29">
        <v>46204</v>
      </c>
      <c r="L256" s="6">
        <v>46234</v>
      </c>
      <c r="M256" s="6" t="s">
        <v>60</v>
      </c>
      <c r="N256" s="47"/>
      <c r="O256" s="47"/>
    </row>
    <row r="257" spans="1:15">
      <c r="A257" s="3">
        <v>20407</v>
      </c>
      <c r="B257" s="4">
        <v>7024120</v>
      </c>
      <c r="C257" s="2" t="s">
        <v>182</v>
      </c>
      <c r="D257" s="1" t="s">
        <v>51</v>
      </c>
      <c r="E257" s="32">
        <v>1999.99</v>
      </c>
      <c r="F257" s="33">
        <v>1499.9925000000001</v>
      </c>
      <c r="G257" s="31">
        <v>-499.99749999999995</v>
      </c>
      <c r="H257" s="28">
        <v>0.25</v>
      </c>
      <c r="I257" s="3" t="s">
        <v>15</v>
      </c>
      <c r="J257" s="3" t="s">
        <v>19</v>
      </c>
      <c r="K257" s="29">
        <v>46204</v>
      </c>
      <c r="L257" s="6">
        <v>46234</v>
      </c>
      <c r="M257" s="6" t="s">
        <v>60</v>
      </c>
      <c r="N257" s="47"/>
      <c r="O257" s="47"/>
    </row>
    <row r="258" spans="1:15">
      <c r="A258" s="3">
        <v>662037</v>
      </c>
      <c r="B258" s="4">
        <v>7022960</v>
      </c>
      <c r="C258" s="2" t="s">
        <v>183</v>
      </c>
      <c r="D258" s="1" t="s">
        <v>52</v>
      </c>
      <c r="E258" s="32">
        <v>2199.9899999999998</v>
      </c>
      <c r="F258" s="33">
        <v>1649.9924999999998</v>
      </c>
      <c r="G258" s="31">
        <v>-549.99749999999995</v>
      </c>
      <c r="H258" s="28">
        <v>0.25</v>
      </c>
      <c r="I258" s="3" t="s">
        <v>15</v>
      </c>
      <c r="J258" s="3" t="s">
        <v>19</v>
      </c>
      <c r="K258" s="29">
        <v>46204</v>
      </c>
      <c r="L258" s="6">
        <v>46234</v>
      </c>
      <c r="M258" s="6" t="s">
        <v>60</v>
      </c>
      <c r="N258" s="47"/>
      <c r="O258" s="47"/>
    </row>
    <row r="259" spans="1:15">
      <c r="A259" s="3">
        <v>20401</v>
      </c>
      <c r="B259" s="4">
        <v>7024230</v>
      </c>
      <c r="C259" s="2" t="s">
        <v>188</v>
      </c>
      <c r="D259" s="1" t="s">
        <v>57</v>
      </c>
      <c r="E259" s="32">
        <v>1199.99</v>
      </c>
      <c r="F259" s="33">
        <v>899.99250000000006</v>
      </c>
      <c r="G259" s="31">
        <v>-299.99749999999995</v>
      </c>
      <c r="H259" s="28">
        <v>0.25</v>
      </c>
      <c r="I259" s="3" t="s">
        <v>15</v>
      </c>
      <c r="J259" s="3" t="s">
        <v>19</v>
      </c>
      <c r="K259" s="29">
        <v>46204</v>
      </c>
      <c r="L259" s="6">
        <v>46234</v>
      </c>
      <c r="M259" s="6" t="s">
        <v>60</v>
      </c>
      <c r="N259" s="47"/>
      <c r="O259" s="47"/>
    </row>
    <row r="260" spans="1:15">
      <c r="A260" s="3">
        <v>20403</v>
      </c>
      <c r="B260" s="4">
        <v>7024234</v>
      </c>
      <c r="C260" s="2" t="s">
        <v>181</v>
      </c>
      <c r="D260" s="1" t="s">
        <v>50</v>
      </c>
      <c r="E260" s="32">
        <v>1399.99</v>
      </c>
      <c r="F260" s="33">
        <v>1049.9925000000001</v>
      </c>
      <c r="G260" s="31">
        <v>-349.99749999999995</v>
      </c>
      <c r="H260" s="28">
        <v>0.25</v>
      </c>
      <c r="I260" s="3" t="s">
        <v>15</v>
      </c>
      <c r="J260" s="3" t="s">
        <v>19</v>
      </c>
      <c r="K260" s="29">
        <v>46204</v>
      </c>
      <c r="L260" s="6">
        <v>46234</v>
      </c>
      <c r="M260" s="6" t="s">
        <v>60</v>
      </c>
      <c r="N260" s="47"/>
      <c r="O260" s="47"/>
    </row>
    <row r="261" spans="1:15">
      <c r="A261">
        <v>7985</v>
      </c>
      <c r="B261">
        <v>2260</v>
      </c>
      <c r="C261" s="64">
        <v>7622300829506</v>
      </c>
      <c r="D261" t="s">
        <v>311</v>
      </c>
      <c r="E261" s="47">
        <v>3006.25</v>
      </c>
      <c r="F261" s="47">
        <v>2405</v>
      </c>
      <c r="G261" s="54">
        <v>-601.25</v>
      </c>
      <c r="H261" s="62">
        <v>0.2</v>
      </c>
      <c r="I261" t="s">
        <v>113</v>
      </c>
      <c r="J261" t="s">
        <v>75</v>
      </c>
      <c r="K261" s="63">
        <v>46204</v>
      </c>
      <c r="L261" s="63">
        <v>46234</v>
      </c>
      <c r="M261" t="s">
        <v>140</v>
      </c>
    </row>
    <row r="262" spans="1:15">
      <c r="A262">
        <v>18818</v>
      </c>
      <c r="B262">
        <v>0</v>
      </c>
      <c r="C262" s="64">
        <v>7798141972401</v>
      </c>
      <c r="D262" t="s">
        <v>312</v>
      </c>
      <c r="E262" s="47">
        <v>1623.75</v>
      </c>
      <c r="F262" s="47">
        <v>1299</v>
      </c>
      <c r="G262" s="54">
        <v>-324.75</v>
      </c>
      <c r="H262" s="62">
        <v>0.2</v>
      </c>
      <c r="I262" t="s">
        <v>113</v>
      </c>
      <c r="J262" t="s">
        <v>75</v>
      </c>
      <c r="K262" s="63">
        <v>46204</v>
      </c>
      <c r="L262" s="63">
        <v>46234</v>
      </c>
      <c r="M262" t="s">
        <v>140</v>
      </c>
    </row>
    <row r="263" spans="1:15">
      <c r="A263" s="164">
        <v>1897</v>
      </c>
      <c r="B263" s="117">
        <v>47489</v>
      </c>
      <c r="C263" s="117">
        <v>7791813423522</v>
      </c>
      <c r="D263" s="118" t="s">
        <v>723</v>
      </c>
      <c r="E263" s="82">
        <v>3923.08</v>
      </c>
      <c r="F263" s="82">
        <v>2550.002</v>
      </c>
      <c r="G263" s="124">
        <v>-1373.078</v>
      </c>
      <c r="H263" s="125">
        <v>0.35</v>
      </c>
      <c r="I263" s="120" t="s">
        <v>15</v>
      </c>
      <c r="J263" s="120" t="s">
        <v>16</v>
      </c>
      <c r="K263" s="126">
        <v>46206</v>
      </c>
      <c r="L263" s="126">
        <v>46234</v>
      </c>
      <c r="M263" s="127" t="s">
        <v>17</v>
      </c>
      <c r="N263" s="47"/>
      <c r="O263" s="47"/>
    </row>
    <row r="264" spans="1:15">
      <c r="A264" s="3">
        <v>1192</v>
      </c>
      <c r="B264" s="3">
        <v>326</v>
      </c>
      <c r="C264" s="2">
        <v>7790895000430</v>
      </c>
      <c r="D264" s="1" t="s">
        <v>661</v>
      </c>
      <c r="E264" s="32">
        <v>3800.1410000000001</v>
      </c>
      <c r="F264" s="102">
        <v>3230.11985</v>
      </c>
      <c r="G264" s="33">
        <v>-570.02115000000003</v>
      </c>
      <c r="H264" s="28">
        <v>0.15</v>
      </c>
      <c r="I264" s="3" t="s">
        <v>18</v>
      </c>
      <c r="J264" s="3" t="s">
        <v>70</v>
      </c>
      <c r="K264" s="29">
        <v>46205</v>
      </c>
      <c r="L264" s="6">
        <v>46234</v>
      </c>
      <c r="M264" s="6" t="s">
        <v>718</v>
      </c>
      <c r="N264" s="47"/>
      <c r="O264" s="47"/>
    </row>
    <row r="265" spans="1:15">
      <c r="A265" s="3">
        <v>1187</v>
      </c>
      <c r="B265" s="3">
        <v>327</v>
      </c>
      <c r="C265" s="2">
        <v>7790895000997</v>
      </c>
      <c r="D265" s="1" t="s">
        <v>692</v>
      </c>
      <c r="E265" s="32">
        <v>4800.1809999999996</v>
      </c>
      <c r="F265" s="102">
        <v>3600.1357499999995</v>
      </c>
      <c r="G265" s="33">
        <v>-1200.0452500000001</v>
      </c>
      <c r="H265" s="28">
        <v>0.25</v>
      </c>
      <c r="I265" s="3" t="s">
        <v>15</v>
      </c>
      <c r="J265" s="3" t="s">
        <v>19</v>
      </c>
      <c r="K265" s="29">
        <v>46205</v>
      </c>
      <c r="L265" s="6">
        <v>46208</v>
      </c>
      <c r="M265" s="6" t="s">
        <v>718</v>
      </c>
      <c r="N265" s="47"/>
      <c r="O265" s="47"/>
    </row>
    <row r="266" spans="1:15">
      <c r="A266" s="3">
        <v>1190</v>
      </c>
      <c r="B266" s="3">
        <v>120</v>
      </c>
      <c r="C266" s="2">
        <v>7790895000782</v>
      </c>
      <c r="D266" s="1" t="s">
        <v>658</v>
      </c>
      <c r="E266" s="32">
        <v>1900.0709999999999</v>
      </c>
      <c r="F266" s="102">
        <v>1266.7139999999999</v>
      </c>
      <c r="G266" s="33">
        <v>-633.35699999999997</v>
      </c>
      <c r="H266" s="28">
        <v>0.33329999999999999</v>
      </c>
      <c r="I266" s="3" t="s">
        <v>656</v>
      </c>
      <c r="J266" s="3" t="s">
        <v>657</v>
      </c>
      <c r="K266" s="29">
        <v>46205</v>
      </c>
      <c r="L266" s="6">
        <v>46234</v>
      </c>
      <c r="M266" s="6" t="s">
        <v>718</v>
      </c>
      <c r="N266" s="47"/>
      <c r="O266" s="47"/>
    </row>
    <row r="267" spans="1:15">
      <c r="A267" s="3">
        <v>1204</v>
      </c>
      <c r="B267" s="3">
        <v>1195</v>
      </c>
      <c r="C267" s="2">
        <v>7790895001017</v>
      </c>
      <c r="D267" s="1" t="s">
        <v>693</v>
      </c>
      <c r="E267" s="32">
        <v>4600.1790000000001</v>
      </c>
      <c r="F267" s="102">
        <v>3220.1252999999997</v>
      </c>
      <c r="G267" s="33">
        <v>-1380.0537000000004</v>
      </c>
      <c r="H267" s="28">
        <v>0.3</v>
      </c>
      <c r="I267" s="3" t="s">
        <v>18</v>
      </c>
      <c r="J267" s="3" t="s">
        <v>94</v>
      </c>
      <c r="K267" s="29">
        <v>46205</v>
      </c>
      <c r="L267" s="6">
        <v>46208</v>
      </c>
      <c r="M267" s="6" t="s">
        <v>718</v>
      </c>
      <c r="N267" s="47"/>
      <c r="O267" s="47"/>
    </row>
    <row r="268" spans="1:15">
      <c r="A268" s="117">
        <v>1204</v>
      </c>
      <c r="B268" s="117">
        <v>1195</v>
      </c>
      <c r="C268" s="117">
        <v>7790895001017</v>
      </c>
      <c r="D268" s="118" t="s">
        <v>693</v>
      </c>
      <c r="E268" s="82">
        <v>4600.18</v>
      </c>
      <c r="F268" s="82">
        <v>2490</v>
      </c>
      <c r="G268" s="82">
        <f>+F268-E268</f>
        <v>-2110.1800000000003</v>
      </c>
      <c r="H268" s="119">
        <v>0</v>
      </c>
      <c r="I268" s="120" t="s">
        <v>18</v>
      </c>
      <c r="J268" s="120" t="s">
        <v>157</v>
      </c>
      <c r="K268" s="121" t="s">
        <v>720</v>
      </c>
      <c r="L268" s="121">
        <v>46218</v>
      </c>
      <c r="M268" s="83" t="s">
        <v>721</v>
      </c>
      <c r="N268" s="122"/>
      <c r="O268" s="47"/>
    </row>
    <row r="269" spans="1:15">
      <c r="A269" s="3">
        <v>8426</v>
      </c>
      <c r="B269" s="3">
        <v>1110</v>
      </c>
      <c r="C269" s="2">
        <v>7790895000836</v>
      </c>
      <c r="D269" s="1" t="s">
        <v>659</v>
      </c>
      <c r="E269" s="32">
        <v>1600.06</v>
      </c>
      <c r="F269" s="102">
        <v>1066.7066666666667</v>
      </c>
      <c r="G269" s="33">
        <v>-533.35333333333324</v>
      </c>
      <c r="H269" s="28">
        <v>0.33329999999999999</v>
      </c>
      <c r="I269" s="3" t="s">
        <v>656</v>
      </c>
      <c r="J269" s="3" t="s">
        <v>657</v>
      </c>
      <c r="K269" s="29">
        <v>46205</v>
      </c>
      <c r="L269" s="6">
        <v>46234</v>
      </c>
      <c r="M269" s="6" t="s">
        <v>718</v>
      </c>
      <c r="N269" s="47"/>
      <c r="O269" s="47"/>
    </row>
    <row r="270" spans="1:15">
      <c r="A270" s="3">
        <v>1203</v>
      </c>
      <c r="B270" s="3">
        <v>1190</v>
      </c>
      <c r="C270" s="2">
        <v>7790895000454</v>
      </c>
      <c r="D270" s="1" t="s">
        <v>662</v>
      </c>
      <c r="E270" s="32">
        <v>3800.1410000000001</v>
      </c>
      <c r="F270" s="102">
        <v>2850.1057500000002</v>
      </c>
      <c r="G270" s="33">
        <v>-950.03524999999991</v>
      </c>
      <c r="H270" s="28">
        <v>0.25</v>
      </c>
      <c r="I270" s="3" t="s">
        <v>18</v>
      </c>
      <c r="J270" s="3" t="s">
        <v>24</v>
      </c>
      <c r="K270" s="29">
        <v>46205</v>
      </c>
      <c r="L270" s="6">
        <v>46234</v>
      </c>
      <c r="M270" s="6" t="s">
        <v>718</v>
      </c>
      <c r="N270" s="47"/>
      <c r="O270" s="47"/>
    </row>
    <row r="271" spans="1:15">
      <c r="A271" s="123">
        <v>1203</v>
      </c>
      <c r="B271" s="117">
        <v>1190</v>
      </c>
      <c r="C271" s="117">
        <v>7790895000454</v>
      </c>
      <c r="D271" s="118" t="s">
        <v>662</v>
      </c>
      <c r="E271" s="82">
        <v>3800.14</v>
      </c>
      <c r="F271" s="82">
        <v>1990</v>
      </c>
      <c r="G271" s="82">
        <f>+F271-E271</f>
        <v>-1810.1399999999999</v>
      </c>
      <c r="H271" s="119">
        <v>0</v>
      </c>
      <c r="I271" s="120" t="s">
        <v>18</v>
      </c>
      <c r="J271" s="120" t="s">
        <v>157</v>
      </c>
      <c r="K271" s="121" t="s">
        <v>720</v>
      </c>
      <c r="L271" s="121">
        <v>46218</v>
      </c>
      <c r="M271" s="83" t="s">
        <v>721</v>
      </c>
      <c r="N271" s="122"/>
      <c r="O271" s="47"/>
    </row>
    <row r="272" spans="1:15">
      <c r="A272" s="165">
        <v>1803</v>
      </c>
      <c r="B272" s="3">
        <v>1650</v>
      </c>
      <c r="C272" s="2">
        <v>7790895002304</v>
      </c>
      <c r="D272" s="1" t="s">
        <v>663</v>
      </c>
      <c r="E272" s="32">
        <v>3800.1410000000001</v>
      </c>
      <c r="F272" s="102">
        <v>2850.1057500000002</v>
      </c>
      <c r="G272" s="33">
        <v>-950.03524999999991</v>
      </c>
      <c r="H272" s="28">
        <v>0.25</v>
      </c>
      <c r="I272" s="3" t="s">
        <v>18</v>
      </c>
      <c r="J272" s="3" t="s">
        <v>24</v>
      </c>
      <c r="K272" s="29">
        <v>46205</v>
      </c>
      <c r="L272" s="6">
        <v>46234</v>
      </c>
      <c r="M272" s="6" t="s">
        <v>718</v>
      </c>
      <c r="N272" s="47"/>
      <c r="O272" s="47"/>
    </row>
    <row r="273" spans="1:15">
      <c r="A273" s="123">
        <v>1917</v>
      </c>
      <c r="B273" s="117">
        <v>7475</v>
      </c>
      <c r="C273" s="117">
        <v>7791813421382</v>
      </c>
      <c r="D273" s="118" t="s">
        <v>725</v>
      </c>
      <c r="E273" s="82">
        <v>3598.33</v>
      </c>
      <c r="F273" s="82">
        <v>2158.998</v>
      </c>
      <c r="G273" s="124">
        <v>-1439.3319999999999</v>
      </c>
      <c r="H273" s="125">
        <v>0.4</v>
      </c>
      <c r="I273" s="120" t="s">
        <v>15</v>
      </c>
      <c r="J273" s="120" t="s">
        <v>726</v>
      </c>
      <c r="K273" s="126">
        <v>46206</v>
      </c>
      <c r="L273" s="126">
        <v>46234</v>
      </c>
      <c r="M273" s="127" t="s">
        <v>17</v>
      </c>
      <c r="N273" s="47"/>
      <c r="O273" s="47"/>
    </row>
    <row r="274" spans="1:15">
      <c r="A274" s="163">
        <v>1905</v>
      </c>
      <c r="B274" s="128">
        <v>7476</v>
      </c>
      <c r="C274" s="129">
        <v>7791813421368</v>
      </c>
      <c r="D274" s="130" t="s">
        <v>727</v>
      </c>
      <c r="E274" s="131">
        <v>3598.33</v>
      </c>
      <c r="F274" s="132">
        <v>2158.998</v>
      </c>
      <c r="G274" s="124">
        <v>-1439.3319999999999</v>
      </c>
      <c r="H274" s="133">
        <v>0.4</v>
      </c>
      <c r="I274" s="128" t="s">
        <v>15</v>
      </c>
      <c r="J274" s="128" t="s">
        <v>726</v>
      </c>
      <c r="K274" s="134">
        <v>46206</v>
      </c>
      <c r="L274" s="127">
        <v>46234</v>
      </c>
      <c r="M274" s="127" t="s">
        <v>17</v>
      </c>
      <c r="N274" s="47"/>
      <c r="O274" s="47"/>
    </row>
    <row r="275" spans="1:15">
      <c r="A275" s="163">
        <v>18223</v>
      </c>
      <c r="B275" s="128">
        <v>30793</v>
      </c>
      <c r="C275" s="129">
        <v>7791813050995</v>
      </c>
      <c r="D275" s="130" t="s">
        <v>730</v>
      </c>
      <c r="E275" s="131">
        <v>1980</v>
      </c>
      <c r="F275" s="132">
        <v>990</v>
      </c>
      <c r="G275" s="124">
        <v>-990</v>
      </c>
      <c r="H275" s="133">
        <v>0.5</v>
      </c>
      <c r="I275" s="128" t="s">
        <v>15</v>
      </c>
      <c r="J275" s="128" t="s">
        <v>640</v>
      </c>
      <c r="K275" s="134">
        <v>46206</v>
      </c>
      <c r="L275" s="127">
        <v>46234</v>
      </c>
      <c r="M275" s="127" t="s">
        <v>17</v>
      </c>
      <c r="N275" s="47"/>
      <c r="O275" s="47"/>
    </row>
    <row r="276" spans="1:15">
      <c r="A276" s="163">
        <v>665735</v>
      </c>
      <c r="B276" s="128">
        <v>30789</v>
      </c>
      <c r="C276" s="129">
        <v>7791813828464</v>
      </c>
      <c r="D276" s="130" t="s">
        <v>728</v>
      </c>
      <c r="E276" s="131">
        <v>3980</v>
      </c>
      <c r="F276" s="132">
        <v>1990</v>
      </c>
      <c r="G276" s="124">
        <v>-1990</v>
      </c>
      <c r="H276" s="133">
        <v>0.5</v>
      </c>
      <c r="I276" s="128" t="s">
        <v>15</v>
      </c>
      <c r="J276" s="128" t="s">
        <v>640</v>
      </c>
      <c r="K276" s="134">
        <v>46206</v>
      </c>
      <c r="L276" s="127">
        <v>46234</v>
      </c>
      <c r="M276" s="127" t="s">
        <v>17</v>
      </c>
      <c r="N276" s="47"/>
      <c r="O276" s="47"/>
    </row>
    <row r="277" spans="1:15">
      <c r="A277" s="128">
        <v>14149</v>
      </c>
      <c r="B277" s="128">
        <v>30648</v>
      </c>
      <c r="C277" s="129">
        <v>7791813050117</v>
      </c>
      <c r="D277" s="130" t="s">
        <v>729</v>
      </c>
      <c r="E277" s="131">
        <v>1980</v>
      </c>
      <c r="F277" s="132">
        <v>990</v>
      </c>
      <c r="G277" s="124">
        <v>-990</v>
      </c>
      <c r="H277" s="133">
        <v>0.5</v>
      </c>
      <c r="I277" s="128" t="s">
        <v>15</v>
      </c>
      <c r="J277" s="128" t="s">
        <v>640</v>
      </c>
      <c r="K277" s="134">
        <v>46206</v>
      </c>
      <c r="L277" s="127">
        <v>46234</v>
      </c>
      <c r="M277" s="127" t="s">
        <v>17</v>
      </c>
      <c r="N277" s="47"/>
      <c r="O277" s="47"/>
    </row>
    <row r="278" spans="1:15">
      <c r="A278" s="164">
        <v>664757</v>
      </c>
      <c r="B278" s="117">
        <v>30645</v>
      </c>
      <c r="C278" s="117">
        <v>7791813555094</v>
      </c>
      <c r="D278" s="118" t="s">
        <v>722</v>
      </c>
      <c r="E278" s="82">
        <v>3923.08</v>
      </c>
      <c r="F278" s="82">
        <v>2550.002</v>
      </c>
      <c r="G278" s="124">
        <v>-1373.078</v>
      </c>
      <c r="H278" s="125">
        <v>0.35</v>
      </c>
      <c r="I278" s="120" t="s">
        <v>15</v>
      </c>
      <c r="J278" s="120" t="s">
        <v>16</v>
      </c>
      <c r="K278" s="126">
        <v>46206</v>
      </c>
      <c r="L278" s="126">
        <v>46234</v>
      </c>
      <c r="M278" s="127" t="s">
        <v>17</v>
      </c>
      <c r="N278" s="47"/>
      <c r="O278" s="47"/>
    </row>
    <row r="279" spans="1:15">
      <c r="A279" s="3">
        <v>666793</v>
      </c>
      <c r="B279" s="3">
        <v>3021</v>
      </c>
      <c r="C279" s="2">
        <v>7790895010088</v>
      </c>
      <c r="D279" s="1" t="s">
        <v>664</v>
      </c>
      <c r="E279" s="32">
        <v>3500.9279999999999</v>
      </c>
      <c r="F279" s="102">
        <v>2625.6959999999999</v>
      </c>
      <c r="G279" s="33">
        <v>-875.23199999999997</v>
      </c>
      <c r="H279" s="28">
        <v>0.25</v>
      </c>
      <c r="I279" s="3" t="s">
        <v>18</v>
      </c>
      <c r="J279" s="3" t="s">
        <v>24</v>
      </c>
      <c r="K279" s="29">
        <v>46205</v>
      </c>
      <c r="L279" s="6">
        <v>46234</v>
      </c>
      <c r="M279" s="6" t="s">
        <v>718</v>
      </c>
      <c r="N279" s="47"/>
      <c r="O279" s="47"/>
    </row>
    <row r="280" spans="1:15">
      <c r="A280" s="3">
        <v>5747</v>
      </c>
      <c r="B280" s="3">
        <v>3151</v>
      </c>
      <c r="C280" s="2">
        <v>7790895006715</v>
      </c>
      <c r="D280" s="1" t="s">
        <v>665</v>
      </c>
      <c r="E280" s="32">
        <v>3503.09</v>
      </c>
      <c r="F280" s="102">
        <v>2627.3175000000001</v>
      </c>
      <c r="G280" s="33">
        <v>-875.77250000000004</v>
      </c>
      <c r="H280" s="28">
        <v>0.25</v>
      </c>
      <c r="I280" s="3" t="s">
        <v>18</v>
      </c>
      <c r="J280" s="3" t="s">
        <v>24</v>
      </c>
      <c r="K280" s="29">
        <v>46205</v>
      </c>
      <c r="L280" s="6">
        <v>46234</v>
      </c>
      <c r="M280" s="6" t="s">
        <v>718</v>
      </c>
      <c r="N280" s="47"/>
      <c r="O280" s="47"/>
    </row>
    <row r="281" spans="1:15">
      <c r="A281" s="103">
        <v>662020</v>
      </c>
      <c r="B281" s="103">
        <v>3175</v>
      </c>
      <c r="C281" s="104">
        <v>7790895004667</v>
      </c>
      <c r="D281" s="105" t="s">
        <v>695</v>
      </c>
      <c r="E281" s="106">
        <v>3600.1390000000001</v>
      </c>
      <c r="F281" s="107">
        <v>2520.0972999999999</v>
      </c>
      <c r="G281" s="108">
        <v>-1080.0417000000002</v>
      </c>
      <c r="H281" s="109">
        <v>0.3</v>
      </c>
      <c r="I281" s="103" t="s">
        <v>18</v>
      </c>
      <c r="J281" s="103" t="s">
        <v>94</v>
      </c>
      <c r="K281" s="110">
        <v>46205</v>
      </c>
      <c r="L281" s="111">
        <v>46208</v>
      </c>
      <c r="M281" s="6" t="s">
        <v>718</v>
      </c>
      <c r="N281" s="47"/>
      <c r="O281" s="47"/>
    </row>
    <row r="282" spans="1:15">
      <c r="A282" s="3">
        <v>1213</v>
      </c>
      <c r="B282" s="3">
        <v>2421</v>
      </c>
      <c r="C282" s="2">
        <v>7790895000447</v>
      </c>
      <c r="D282" s="1" t="s">
        <v>666</v>
      </c>
      <c r="E282" s="32">
        <v>3800.1039999999998</v>
      </c>
      <c r="F282" s="102">
        <v>2850.078</v>
      </c>
      <c r="G282" s="33">
        <v>-950.02599999999984</v>
      </c>
      <c r="H282" s="28">
        <v>0.25</v>
      </c>
      <c r="I282" s="3" t="s">
        <v>18</v>
      </c>
      <c r="J282" s="3" t="s">
        <v>24</v>
      </c>
      <c r="K282" s="29">
        <v>46205</v>
      </c>
      <c r="L282" s="6">
        <v>46234</v>
      </c>
      <c r="M282" s="6" t="s">
        <v>718</v>
      </c>
      <c r="N282" s="47"/>
      <c r="O282" s="47"/>
    </row>
    <row r="283" spans="1:15">
      <c r="A283" s="3">
        <v>1214</v>
      </c>
      <c r="B283" s="3">
        <v>2427</v>
      </c>
      <c r="C283" s="2">
        <v>7790895001000</v>
      </c>
      <c r="D283" s="1" t="s">
        <v>694</v>
      </c>
      <c r="E283" s="32">
        <v>4600.1239999999998</v>
      </c>
      <c r="F283" s="102">
        <v>3220.0867999999996</v>
      </c>
      <c r="G283" s="33">
        <v>-1380.0372000000002</v>
      </c>
      <c r="H283" s="28">
        <v>0.3</v>
      </c>
      <c r="I283" s="3" t="s">
        <v>18</v>
      </c>
      <c r="J283" s="3" t="s">
        <v>94</v>
      </c>
      <c r="K283" s="29">
        <v>46205</v>
      </c>
      <c r="L283" s="6">
        <v>46208</v>
      </c>
      <c r="M283" s="6" t="s">
        <v>718</v>
      </c>
      <c r="N283" s="47"/>
      <c r="O283" s="47"/>
    </row>
    <row r="284" spans="1:15">
      <c r="A284" s="3">
        <v>1217</v>
      </c>
      <c r="B284" s="3">
        <v>2408</v>
      </c>
      <c r="C284" s="2">
        <v>7790895000829</v>
      </c>
      <c r="D284" s="1" t="s">
        <v>660</v>
      </c>
      <c r="E284" s="32">
        <v>1650.047</v>
      </c>
      <c r="F284" s="102">
        <v>1100.0313333333334</v>
      </c>
      <c r="G284" s="33">
        <v>-550.01566666666668</v>
      </c>
      <c r="H284" s="28">
        <v>0.33329999999999999</v>
      </c>
      <c r="I284" s="3" t="s">
        <v>656</v>
      </c>
      <c r="J284" s="3" t="s">
        <v>657</v>
      </c>
      <c r="K284" s="29">
        <v>46205</v>
      </c>
      <c r="L284" s="6">
        <v>46234</v>
      </c>
      <c r="M284" s="6" t="s">
        <v>718</v>
      </c>
      <c r="N284" s="47"/>
      <c r="O284" s="47"/>
    </row>
    <row r="285" spans="1:15">
      <c r="A285" s="3">
        <v>1222</v>
      </c>
      <c r="B285" s="3">
        <v>2491</v>
      </c>
      <c r="C285" s="2">
        <v>7790895064173</v>
      </c>
      <c r="D285" s="1" t="s">
        <v>667</v>
      </c>
      <c r="E285" s="32">
        <v>3800.1039999999998</v>
      </c>
      <c r="F285" s="102">
        <v>2850.078</v>
      </c>
      <c r="G285" s="33">
        <v>-950.02599999999984</v>
      </c>
      <c r="H285" s="28">
        <v>0.25</v>
      </c>
      <c r="I285" s="3" t="s">
        <v>18</v>
      </c>
      <c r="J285" s="3" t="s">
        <v>24</v>
      </c>
      <c r="K285" s="29">
        <v>46205</v>
      </c>
      <c r="L285" s="6">
        <v>46234</v>
      </c>
      <c r="M285" s="6" t="s">
        <v>718</v>
      </c>
      <c r="N285" s="47"/>
      <c r="O285" s="47"/>
    </row>
    <row r="286" spans="1:15">
      <c r="A286" s="3">
        <v>7501</v>
      </c>
      <c r="B286" s="3">
        <v>652</v>
      </c>
      <c r="C286" s="2">
        <v>7790895067556</v>
      </c>
      <c r="D286" s="1" t="s">
        <v>668</v>
      </c>
      <c r="E286" s="32">
        <v>3800.1410000000001</v>
      </c>
      <c r="F286" s="102">
        <v>2850.1057500000002</v>
      </c>
      <c r="G286" s="33">
        <v>-950.03524999999991</v>
      </c>
      <c r="H286" s="28">
        <v>0.25</v>
      </c>
      <c r="I286" s="3" t="s">
        <v>18</v>
      </c>
      <c r="J286" s="3" t="s">
        <v>24</v>
      </c>
      <c r="K286" s="29">
        <v>46205</v>
      </c>
      <c r="L286" s="6">
        <v>46234</v>
      </c>
      <c r="M286" s="6" t="s">
        <v>718</v>
      </c>
      <c r="N286" s="47"/>
      <c r="O286" s="47"/>
    </row>
    <row r="287" spans="1:15">
      <c r="A287" s="3">
        <v>9216</v>
      </c>
      <c r="B287" s="3">
        <v>655</v>
      </c>
      <c r="C287" s="2">
        <v>7790895067570</v>
      </c>
      <c r="D287" s="1" t="s">
        <v>691</v>
      </c>
      <c r="E287" s="32">
        <v>4800.1809999999996</v>
      </c>
      <c r="F287" s="102">
        <v>3600.1357499999995</v>
      </c>
      <c r="G287" s="33">
        <v>-1200.0452500000001</v>
      </c>
      <c r="H287" s="28">
        <v>0.25</v>
      </c>
      <c r="I287" s="3" t="s">
        <v>15</v>
      </c>
      <c r="J287" s="3" t="s">
        <v>19</v>
      </c>
      <c r="K287" s="29">
        <v>46205</v>
      </c>
      <c r="L287" s="6">
        <v>46208</v>
      </c>
      <c r="M287" s="6" t="s">
        <v>718</v>
      </c>
      <c r="N287" s="47"/>
      <c r="O287" s="47"/>
    </row>
    <row r="288" spans="1:15">
      <c r="A288" s="3">
        <v>8239</v>
      </c>
      <c r="B288" s="3">
        <v>623</v>
      </c>
      <c r="C288" s="2">
        <v>7790895067532</v>
      </c>
      <c r="D288" s="1" t="s">
        <v>655</v>
      </c>
      <c r="E288" s="32">
        <v>1900.0709999999999</v>
      </c>
      <c r="F288" s="102">
        <v>1266.7139999999999</v>
      </c>
      <c r="G288" s="33">
        <v>-633.35699999999997</v>
      </c>
      <c r="H288" s="28">
        <v>0.33329999999999999</v>
      </c>
      <c r="I288" s="3" t="s">
        <v>656</v>
      </c>
      <c r="J288" s="3" t="s">
        <v>657</v>
      </c>
      <c r="K288" s="29">
        <v>46205</v>
      </c>
      <c r="L288" s="6">
        <v>46234</v>
      </c>
      <c r="M288" s="6" t="s">
        <v>718</v>
      </c>
      <c r="N288" s="47"/>
      <c r="O288" s="47"/>
    </row>
    <row r="289" spans="1:15">
      <c r="A289" s="164">
        <v>667278</v>
      </c>
      <c r="B289" s="117">
        <v>47488</v>
      </c>
      <c r="C289" s="117">
        <v>7791813422389</v>
      </c>
      <c r="D289" s="118" t="s">
        <v>724</v>
      </c>
      <c r="E289" s="82">
        <v>3923.08</v>
      </c>
      <c r="F289" s="82">
        <v>2550.002</v>
      </c>
      <c r="G289" s="124">
        <v>-1373.078</v>
      </c>
      <c r="H289" s="125">
        <v>0.35</v>
      </c>
      <c r="I289" s="120" t="s">
        <v>15</v>
      </c>
      <c r="J289" s="120" t="s">
        <v>16</v>
      </c>
      <c r="K289" s="126">
        <v>46206</v>
      </c>
      <c r="L289" s="126">
        <v>46234</v>
      </c>
      <c r="M289" s="127" t="s">
        <v>17</v>
      </c>
      <c r="N289" s="47"/>
      <c r="O289" s="47"/>
    </row>
    <row r="290" spans="1:15">
      <c r="A290">
        <v>18186</v>
      </c>
      <c r="B290" t="s">
        <v>295</v>
      </c>
      <c r="C290" s="64">
        <v>7797237000110</v>
      </c>
      <c r="D290" t="s">
        <v>313</v>
      </c>
      <c r="E290" s="47">
        <v>1623.75</v>
      </c>
      <c r="F290" s="47">
        <v>1299</v>
      </c>
      <c r="G290" s="54">
        <v>-324.75</v>
      </c>
      <c r="H290" s="62">
        <v>0.2</v>
      </c>
      <c r="I290" t="s">
        <v>113</v>
      </c>
      <c r="J290" t="s">
        <v>75</v>
      </c>
      <c r="K290" s="63">
        <v>46204</v>
      </c>
      <c r="L290" s="63">
        <v>46234</v>
      </c>
      <c r="M290" t="s">
        <v>63</v>
      </c>
    </row>
    <row r="291" spans="1:15">
      <c r="A291" s="23">
        <v>8120</v>
      </c>
      <c r="B291" s="23">
        <v>11</v>
      </c>
      <c r="C291" s="22">
        <v>7798089020080</v>
      </c>
      <c r="D291" s="5" t="s">
        <v>259</v>
      </c>
      <c r="E291" s="24">
        <v>973.20399999999995</v>
      </c>
      <c r="F291" s="26">
        <v>875.8836</v>
      </c>
      <c r="G291" s="31">
        <v>-97.32039999999995</v>
      </c>
      <c r="H291" s="28">
        <v>0.1</v>
      </c>
      <c r="I291" s="3" t="s">
        <v>18</v>
      </c>
      <c r="J291" s="3" t="s">
        <v>23</v>
      </c>
      <c r="K291" s="29">
        <v>46204</v>
      </c>
      <c r="L291" s="6">
        <v>46234</v>
      </c>
      <c r="M291" s="6" t="s">
        <v>63</v>
      </c>
      <c r="N291" s="47"/>
      <c r="O291" s="47"/>
    </row>
    <row r="292" spans="1:15">
      <c r="A292" s="23">
        <v>667213</v>
      </c>
      <c r="B292" s="23">
        <v>15502</v>
      </c>
      <c r="C292" s="22">
        <v>7790580155025</v>
      </c>
      <c r="D292" s="5" t="s">
        <v>68</v>
      </c>
      <c r="E292" s="24">
        <v>1670</v>
      </c>
      <c r="F292" s="26">
        <v>1419.5</v>
      </c>
      <c r="G292" s="31">
        <v>-250.5</v>
      </c>
      <c r="H292" s="28">
        <v>0.15</v>
      </c>
      <c r="I292" s="3" t="s">
        <v>18</v>
      </c>
      <c r="J292" s="3" t="s">
        <v>70</v>
      </c>
      <c r="K292" s="29">
        <v>46204</v>
      </c>
      <c r="L292" s="6">
        <v>46234</v>
      </c>
      <c r="M292" s="6" t="s">
        <v>63</v>
      </c>
      <c r="N292" s="47"/>
      <c r="O292" s="47"/>
    </row>
    <row r="293" spans="1:15">
      <c r="A293" s="165">
        <v>5584</v>
      </c>
      <c r="B293" s="4">
        <v>13873</v>
      </c>
      <c r="C293" s="2">
        <v>7790580660000</v>
      </c>
      <c r="D293" s="1" t="s">
        <v>127</v>
      </c>
      <c r="E293" s="32">
        <v>1812.5</v>
      </c>
      <c r="F293" s="33">
        <v>1450</v>
      </c>
      <c r="G293" s="31">
        <v>-362.5</v>
      </c>
      <c r="H293" s="28">
        <v>0.2</v>
      </c>
      <c r="I293" s="3" t="s">
        <v>18</v>
      </c>
      <c r="J293" s="3" t="s">
        <v>75</v>
      </c>
      <c r="K293" s="29">
        <v>46204</v>
      </c>
      <c r="L293" s="29">
        <v>46234</v>
      </c>
      <c r="M293" s="6" t="s">
        <v>63</v>
      </c>
      <c r="N293" s="47"/>
      <c r="O293" s="47"/>
    </row>
    <row r="294" spans="1:15">
      <c r="A294" s="162">
        <v>5585</v>
      </c>
      <c r="B294" s="23">
        <v>13872</v>
      </c>
      <c r="C294" s="22">
        <v>7790580538002</v>
      </c>
      <c r="D294" s="5" t="s">
        <v>64</v>
      </c>
      <c r="E294" s="24">
        <v>2580</v>
      </c>
      <c r="F294" s="26">
        <v>2193</v>
      </c>
      <c r="G294" s="31">
        <v>-387</v>
      </c>
      <c r="H294" s="28">
        <v>0.15</v>
      </c>
      <c r="I294" s="3" t="s">
        <v>18</v>
      </c>
      <c r="J294" s="3" t="s">
        <v>70</v>
      </c>
      <c r="K294" s="29">
        <v>46204</v>
      </c>
      <c r="L294" s="6">
        <v>46234</v>
      </c>
      <c r="M294" s="6" t="s">
        <v>63</v>
      </c>
      <c r="N294" s="47"/>
      <c r="O294" s="47"/>
    </row>
    <row r="295" spans="1:15">
      <c r="A295" s="162">
        <v>661362</v>
      </c>
      <c r="B295" s="23">
        <v>12631</v>
      </c>
      <c r="C295" s="22">
        <v>7790580126315</v>
      </c>
      <c r="D295" s="5" t="s">
        <v>65</v>
      </c>
      <c r="E295" s="24">
        <v>1670</v>
      </c>
      <c r="F295" s="26">
        <v>1419.5</v>
      </c>
      <c r="G295" s="31">
        <v>-250.5</v>
      </c>
      <c r="H295" s="28">
        <v>0.15</v>
      </c>
      <c r="I295" s="3" t="s">
        <v>18</v>
      </c>
      <c r="J295" s="3" t="s">
        <v>70</v>
      </c>
      <c r="K295" s="29">
        <v>46204</v>
      </c>
      <c r="L295" s="6">
        <v>46234</v>
      </c>
      <c r="M295" s="6" t="s">
        <v>63</v>
      </c>
      <c r="N295" s="47"/>
      <c r="O295" s="47"/>
    </row>
    <row r="296" spans="1:15">
      <c r="A296" s="162">
        <v>661363</v>
      </c>
      <c r="B296" s="23">
        <v>12632</v>
      </c>
      <c r="C296" s="22">
        <v>7790580126322</v>
      </c>
      <c r="D296" s="5" t="s">
        <v>66</v>
      </c>
      <c r="E296" s="24">
        <v>1670</v>
      </c>
      <c r="F296" s="26">
        <v>1419.5</v>
      </c>
      <c r="G296" s="31">
        <v>-250.5</v>
      </c>
      <c r="H296" s="28">
        <v>0.15</v>
      </c>
      <c r="I296" s="3" t="s">
        <v>18</v>
      </c>
      <c r="J296" s="3" t="s">
        <v>70</v>
      </c>
      <c r="K296" s="29">
        <v>46204</v>
      </c>
      <c r="L296" s="6">
        <v>46234</v>
      </c>
      <c r="M296" s="6" t="s">
        <v>63</v>
      </c>
      <c r="N296" s="47"/>
      <c r="O296" s="47"/>
    </row>
    <row r="297" spans="1:15">
      <c r="A297" s="23">
        <v>667212</v>
      </c>
      <c r="B297" s="23">
        <v>15500</v>
      </c>
      <c r="C297" s="22">
        <v>7790580137762</v>
      </c>
      <c r="D297" s="5" t="s">
        <v>67</v>
      </c>
      <c r="E297" s="24">
        <v>1670</v>
      </c>
      <c r="F297" s="26">
        <v>1419.5</v>
      </c>
      <c r="G297" s="31">
        <v>-250.5</v>
      </c>
      <c r="H297" s="28">
        <v>0.15</v>
      </c>
      <c r="I297" s="3" t="s">
        <v>18</v>
      </c>
      <c r="J297" s="3" t="s">
        <v>70</v>
      </c>
      <c r="K297" s="29">
        <v>46204</v>
      </c>
      <c r="L297" s="6">
        <v>46234</v>
      </c>
      <c r="M297" s="6" t="s">
        <v>63</v>
      </c>
      <c r="N297" s="47"/>
      <c r="O297" s="47"/>
    </row>
    <row r="298" spans="1:15">
      <c r="A298">
        <v>18184</v>
      </c>
      <c r="B298" t="s">
        <v>295</v>
      </c>
      <c r="C298" s="64">
        <v>7797237000028</v>
      </c>
      <c r="D298" t="s">
        <v>314</v>
      </c>
      <c r="E298" s="47">
        <v>1162.5</v>
      </c>
      <c r="F298" s="47">
        <v>930</v>
      </c>
      <c r="G298" s="54">
        <v>-232.5</v>
      </c>
      <c r="H298" s="62">
        <v>0.2</v>
      </c>
      <c r="I298" t="s">
        <v>113</v>
      </c>
      <c r="J298" t="s">
        <v>75</v>
      </c>
      <c r="K298" s="63">
        <v>46204</v>
      </c>
      <c r="L298" s="63">
        <v>46234</v>
      </c>
      <c r="M298" t="s">
        <v>63</v>
      </c>
    </row>
    <row r="299" spans="1:15">
      <c r="A299">
        <v>6621</v>
      </c>
      <c r="B299" t="s">
        <v>295</v>
      </c>
      <c r="C299" s="64">
        <v>7797237000080</v>
      </c>
      <c r="D299" t="s">
        <v>315</v>
      </c>
      <c r="E299" s="47">
        <v>1512.5</v>
      </c>
      <c r="F299" s="47">
        <v>1210</v>
      </c>
      <c r="G299" s="54">
        <v>-302.5</v>
      </c>
      <c r="H299" s="62">
        <v>0.2</v>
      </c>
      <c r="I299" t="s">
        <v>113</v>
      </c>
      <c r="J299" t="s">
        <v>75</v>
      </c>
      <c r="K299" s="63">
        <v>46204</v>
      </c>
      <c r="L299" s="63">
        <v>46234</v>
      </c>
      <c r="M299" t="s">
        <v>63</v>
      </c>
    </row>
    <row r="300" spans="1:15">
      <c r="A300" s="103">
        <v>5320</v>
      </c>
      <c r="B300" s="103">
        <v>3846</v>
      </c>
      <c r="C300" s="104">
        <v>7790895641749</v>
      </c>
      <c r="D300" s="105" t="s">
        <v>698</v>
      </c>
      <c r="E300" s="106">
        <v>3500.0920000000001</v>
      </c>
      <c r="F300" s="107">
        <v>2625.069</v>
      </c>
      <c r="G300" s="108">
        <v>-875.02300000000014</v>
      </c>
      <c r="H300" s="109">
        <v>0.25</v>
      </c>
      <c r="I300" s="103" t="s">
        <v>18</v>
      </c>
      <c r="J300" s="103" t="s">
        <v>24</v>
      </c>
      <c r="K300" s="110">
        <v>46205</v>
      </c>
      <c r="L300" s="111">
        <v>46208</v>
      </c>
      <c r="M300" s="6" t="s">
        <v>718</v>
      </c>
      <c r="N300" s="47"/>
      <c r="O300" s="47"/>
    </row>
    <row r="301" spans="1:15">
      <c r="A301" s="103">
        <v>665057</v>
      </c>
      <c r="B301" s="103">
        <v>3849</v>
      </c>
      <c r="C301" s="104">
        <v>7790895649264</v>
      </c>
      <c r="D301" s="105" t="s">
        <v>706</v>
      </c>
      <c r="E301" s="106">
        <v>2799.9960000000001</v>
      </c>
      <c r="F301" s="107">
        <v>2099.9970000000003</v>
      </c>
      <c r="G301" s="108">
        <v>-699.9989999999998</v>
      </c>
      <c r="H301" s="109">
        <v>0.25</v>
      </c>
      <c r="I301" s="103" t="s">
        <v>18</v>
      </c>
      <c r="J301" s="103" t="s">
        <v>24</v>
      </c>
      <c r="K301" s="110">
        <v>46205</v>
      </c>
      <c r="L301" s="111">
        <v>46208</v>
      </c>
      <c r="M301" s="6" t="s">
        <v>718</v>
      </c>
      <c r="N301" s="47"/>
      <c r="O301" s="47"/>
    </row>
    <row r="302" spans="1:15">
      <c r="A302" s="3">
        <v>665055</v>
      </c>
      <c r="B302" s="3">
        <v>3844</v>
      </c>
      <c r="C302" s="2">
        <v>7790895649271</v>
      </c>
      <c r="D302" s="1" t="s">
        <v>681</v>
      </c>
      <c r="E302" s="32">
        <v>1400.0429999999999</v>
      </c>
      <c r="F302" s="102">
        <v>910.02794999999992</v>
      </c>
      <c r="G302" s="33">
        <v>-490.01504999999997</v>
      </c>
      <c r="H302" s="28">
        <v>0.35</v>
      </c>
      <c r="I302" s="3" t="s">
        <v>15</v>
      </c>
      <c r="J302" s="3" t="s">
        <v>16</v>
      </c>
      <c r="K302" s="29">
        <v>46205</v>
      </c>
      <c r="L302" s="6">
        <v>46234</v>
      </c>
      <c r="M302" s="6" t="s">
        <v>718</v>
      </c>
      <c r="N302" s="47"/>
      <c r="O302" s="47"/>
    </row>
    <row r="303" spans="1:15">
      <c r="A303" s="103">
        <v>5342</v>
      </c>
      <c r="B303" s="103">
        <v>3847</v>
      </c>
      <c r="C303" s="104">
        <v>7790895641534</v>
      </c>
      <c r="D303" s="105" t="s">
        <v>699</v>
      </c>
      <c r="E303" s="106">
        <v>3500.0920000000001</v>
      </c>
      <c r="F303" s="107">
        <v>2625.069</v>
      </c>
      <c r="G303" s="108">
        <v>-875.02300000000014</v>
      </c>
      <c r="H303" s="109">
        <v>0.25</v>
      </c>
      <c r="I303" s="103" t="s">
        <v>18</v>
      </c>
      <c r="J303" s="103" t="s">
        <v>24</v>
      </c>
      <c r="K303" s="110">
        <v>46205</v>
      </c>
      <c r="L303" s="111">
        <v>46208</v>
      </c>
      <c r="M303" s="6" t="s">
        <v>718</v>
      </c>
      <c r="N303" s="47"/>
      <c r="O303" s="47"/>
    </row>
    <row r="304" spans="1:15">
      <c r="A304" s="3">
        <v>5272</v>
      </c>
      <c r="B304" s="3">
        <v>3842</v>
      </c>
      <c r="C304" s="2">
        <v>7790895641541</v>
      </c>
      <c r="D304" s="1" t="s">
        <v>679</v>
      </c>
      <c r="E304" s="32">
        <v>1400.0429999999999</v>
      </c>
      <c r="F304" s="102">
        <v>910.02794999999992</v>
      </c>
      <c r="G304" s="33">
        <v>-490.01504999999997</v>
      </c>
      <c r="H304" s="28">
        <v>0.35</v>
      </c>
      <c r="I304" s="3" t="s">
        <v>15</v>
      </c>
      <c r="J304" s="3" t="s">
        <v>16</v>
      </c>
      <c r="K304" s="29">
        <v>46205</v>
      </c>
      <c r="L304" s="6">
        <v>46234</v>
      </c>
      <c r="M304" s="6" t="s">
        <v>718</v>
      </c>
      <c r="N304" s="47"/>
      <c r="O304" s="47"/>
    </row>
    <row r="305" spans="1:15">
      <c r="A305" s="103">
        <v>657905</v>
      </c>
      <c r="B305" s="103">
        <v>3852</v>
      </c>
      <c r="C305" s="104">
        <v>7790895009846</v>
      </c>
      <c r="D305" s="105" t="s">
        <v>705</v>
      </c>
      <c r="E305" s="106">
        <v>2800.07</v>
      </c>
      <c r="F305" s="107">
        <v>2100.0525000000002</v>
      </c>
      <c r="G305" s="108">
        <v>-700.01749999999993</v>
      </c>
      <c r="H305" s="109">
        <v>0.25</v>
      </c>
      <c r="I305" s="103" t="s">
        <v>18</v>
      </c>
      <c r="J305" s="103" t="s">
        <v>24</v>
      </c>
      <c r="K305" s="110">
        <v>46205</v>
      </c>
      <c r="L305" s="111">
        <v>46208</v>
      </c>
      <c r="M305" s="6" t="s">
        <v>718</v>
      </c>
      <c r="N305" s="47"/>
      <c r="O305" s="47"/>
    </row>
    <row r="306" spans="1:15">
      <c r="A306" s="103">
        <v>5510</v>
      </c>
      <c r="B306" s="103">
        <v>3835</v>
      </c>
      <c r="C306" s="104">
        <v>7790895646737</v>
      </c>
      <c r="D306" s="105" t="s">
        <v>700</v>
      </c>
      <c r="E306" s="106">
        <v>2000.079</v>
      </c>
      <c r="F306" s="107">
        <v>1500.05925</v>
      </c>
      <c r="G306" s="108">
        <v>-500.01974999999993</v>
      </c>
      <c r="H306" s="109">
        <v>0.25</v>
      </c>
      <c r="I306" s="103" t="s">
        <v>18</v>
      </c>
      <c r="J306" s="103" t="s">
        <v>24</v>
      </c>
      <c r="K306" s="110">
        <v>46205</v>
      </c>
      <c r="L306" s="111">
        <v>46208</v>
      </c>
      <c r="M306" s="6" t="s">
        <v>718</v>
      </c>
      <c r="N306" s="47"/>
      <c r="O306" s="47"/>
    </row>
    <row r="307" spans="1:15">
      <c r="A307" s="103">
        <v>14024</v>
      </c>
      <c r="B307" s="103">
        <v>3836</v>
      </c>
      <c r="C307" s="104">
        <v>7790895646775</v>
      </c>
      <c r="D307" s="105" t="s">
        <v>702</v>
      </c>
      <c r="E307" s="106">
        <v>2000.079</v>
      </c>
      <c r="F307" s="107">
        <v>1500.05925</v>
      </c>
      <c r="G307" s="108">
        <v>-500.01974999999993</v>
      </c>
      <c r="H307" s="109">
        <v>0.25</v>
      </c>
      <c r="I307" s="103" t="s">
        <v>18</v>
      </c>
      <c r="J307" s="103" t="s">
        <v>24</v>
      </c>
      <c r="K307" s="110">
        <v>46205</v>
      </c>
      <c r="L307" s="111">
        <v>46208</v>
      </c>
      <c r="M307" s="6" t="s">
        <v>718</v>
      </c>
      <c r="N307" s="47"/>
      <c r="O307" s="47"/>
    </row>
    <row r="308" spans="1:15">
      <c r="A308" s="103">
        <v>665058</v>
      </c>
      <c r="B308" s="103">
        <v>3855</v>
      </c>
      <c r="C308" s="104">
        <v>7790895649240</v>
      </c>
      <c r="D308" s="105" t="s">
        <v>707</v>
      </c>
      <c r="E308" s="106">
        <v>2896.491</v>
      </c>
      <c r="F308" s="107">
        <v>2172.36825</v>
      </c>
      <c r="G308" s="108">
        <v>-724.12275</v>
      </c>
      <c r="H308" s="109">
        <v>0.25</v>
      </c>
      <c r="I308" s="103" t="s">
        <v>18</v>
      </c>
      <c r="J308" s="103" t="s">
        <v>24</v>
      </c>
      <c r="K308" s="110">
        <v>46205</v>
      </c>
      <c r="L308" s="111">
        <v>46208</v>
      </c>
      <c r="M308" s="6" t="s">
        <v>718</v>
      </c>
      <c r="N308" s="47"/>
      <c r="O308" s="47"/>
    </row>
    <row r="309" spans="1:15">
      <c r="A309" s="3">
        <v>665056</v>
      </c>
      <c r="B309" s="3">
        <v>3851</v>
      </c>
      <c r="C309" s="2">
        <v>7790895649257</v>
      </c>
      <c r="D309" s="1" t="s">
        <v>682</v>
      </c>
      <c r="E309" s="32">
        <v>1400.0429999999999</v>
      </c>
      <c r="F309" s="102">
        <v>910.02794999999992</v>
      </c>
      <c r="G309" s="33">
        <v>-490.01504999999997</v>
      </c>
      <c r="H309" s="28">
        <v>0.35</v>
      </c>
      <c r="I309" s="3" t="s">
        <v>15</v>
      </c>
      <c r="J309" s="3" t="s">
        <v>16</v>
      </c>
      <c r="K309" s="29">
        <v>46205</v>
      </c>
      <c r="L309" s="6">
        <v>46234</v>
      </c>
      <c r="M309" s="6" t="s">
        <v>718</v>
      </c>
      <c r="N309" s="47"/>
      <c r="O309" s="47"/>
    </row>
    <row r="310" spans="1:15">
      <c r="A310" s="3">
        <v>6454</v>
      </c>
      <c r="B310" s="3">
        <v>3923</v>
      </c>
      <c r="C310" s="2">
        <v>7790895647130</v>
      </c>
      <c r="D310" s="1" t="s">
        <v>685</v>
      </c>
      <c r="E310" s="32">
        <v>1149.924</v>
      </c>
      <c r="F310" s="102">
        <v>747.45060000000001</v>
      </c>
      <c r="G310" s="33">
        <v>-402.47339999999997</v>
      </c>
      <c r="H310" s="28">
        <v>0.35</v>
      </c>
      <c r="I310" s="3" t="s">
        <v>15</v>
      </c>
      <c r="J310" s="3" t="s">
        <v>16</v>
      </c>
      <c r="K310" s="29">
        <v>46205</v>
      </c>
      <c r="L310" s="6">
        <v>46234</v>
      </c>
      <c r="M310" s="6" t="s">
        <v>718</v>
      </c>
      <c r="N310" s="47"/>
      <c r="O310" s="47"/>
    </row>
    <row r="311" spans="1:15">
      <c r="A311" s="103">
        <v>8762</v>
      </c>
      <c r="B311" s="103">
        <v>3848</v>
      </c>
      <c r="C311" s="104">
        <v>7790895004933</v>
      </c>
      <c r="D311" s="105" t="s">
        <v>701</v>
      </c>
      <c r="E311" s="106">
        <v>3286.8209999999999</v>
      </c>
      <c r="F311" s="107">
        <v>2465.1157499999999</v>
      </c>
      <c r="G311" s="108">
        <v>-821.70524999999998</v>
      </c>
      <c r="H311" s="109">
        <v>0.25</v>
      </c>
      <c r="I311" s="103" t="s">
        <v>18</v>
      </c>
      <c r="J311" s="103" t="s">
        <v>24</v>
      </c>
      <c r="K311" s="110">
        <v>46205</v>
      </c>
      <c r="L311" s="111">
        <v>46208</v>
      </c>
      <c r="M311" s="6" t="s">
        <v>718</v>
      </c>
      <c r="N311" s="47"/>
      <c r="O311" s="47"/>
    </row>
    <row r="312" spans="1:15">
      <c r="A312" s="3">
        <v>5563</v>
      </c>
      <c r="B312" s="3">
        <v>3920</v>
      </c>
      <c r="C312" s="2">
        <v>7790895647024</v>
      </c>
      <c r="D312" s="1" t="s">
        <v>684</v>
      </c>
      <c r="E312" s="32">
        <v>1149.924</v>
      </c>
      <c r="F312" s="102">
        <v>747.45060000000001</v>
      </c>
      <c r="G312" s="33">
        <v>-402.47339999999997</v>
      </c>
      <c r="H312" s="28">
        <v>0.35</v>
      </c>
      <c r="I312" s="3" t="s">
        <v>15</v>
      </c>
      <c r="J312" s="3" t="s">
        <v>16</v>
      </c>
      <c r="K312" s="29">
        <v>46205</v>
      </c>
      <c r="L312" s="6">
        <v>46234</v>
      </c>
      <c r="M312" s="6" t="s">
        <v>718</v>
      </c>
      <c r="N312" s="47"/>
      <c r="O312" s="47"/>
    </row>
    <row r="313" spans="1:15">
      <c r="A313" s="3">
        <v>5519</v>
      </c>
      <c r="B313" s="3">
        <v>3924</v>
      </c>
      <c r="C313" s="2">
        <v>7790895646577</v>
      </c>
      <c r="D313" s="1" t="s">
        <v>683</v>
      </c>
      <c r="E313" s="32">
        <v>1149.924</v>
      </c>
      <c r="F313" s="102">
        <v>747.45060000000001</v>
      </c>
      <c r="G313" s="33">
        <v>-402.47339999999997</v>
      </c>
      <c r="H313" s="28">
        <v>0.35</v>
      </c>
      <c r="I313" s="3" t="s">
        <v>15</v>
      </c>
      <c r="J313" s="3" t="s">
        <v>16</v>
      </c>
      <c r="K313" s="29">
        <v>46205</v>
      </c>
      <c r="L313" s="6">
        <v>46234</v>
      </c>
      <c r="M313" s="6" t="s">
        <v>718</v>
      </c>
      <c r="N313" s="47"/>
      <c r="O313" s="47"/>
    </row>
    <row r="314" spans="1:15">
      <c r="A314" s="103">
        <v>5291</v>
      </c>
      <c r="B314" s="103">
        <v>3845</v>
      </c>
      <c r="C314" s="104">
        <v>7790895641800</v>
      </c>
      <c r="D314" s="105" t="s">
        <v>697</v>
      </c>
      <c r="E314" s="106">
        <v>3500.0920000000001</v>
      </c>
      <c r="F314" s="107">
        <v>2625.069</v>
      </c>
      <c r="G314" s="108">
        <v>-875.02300000000014</v>
      </c>
      <c r="H314" s="109">
        <v>0.25</v>
      </c>
      <c r="I314" s="103" t="s">
        <v>18</v>
      </c>
      <c r="J314" s="103" t="s">
        <v>24</v>
      </c>
      <c r="K314" s="110">
        <v>46205</v>
      </c>
      <c r="L314" s="111">
        <v>46208</v>
      </c>
      <c r="M314" s="6" t="s">
        <v>718</v>
      </c>
      <c r="N314" s="47"/>
      <c r="O314" s="47"/>
    </row>
    <row r="315" spans="1:15">
      <c r="A315" s="3">
        <v>5289</v>
      </c>
      <c r="B315" s="3">
        <v>3840</v>
      </c>
      <c r="C315" s="2">
        <v>7790895641794</v>
      </c>
      <c r="D315" s="1" t="s">
        <v>680</v>
      </c>
      <c r="E315" s="32">
        <v>1400.0429999999999</v>
      </c>
      <c r="F315" s="102">
        <v>910.02794999999992</v>
      </c>
      <c r="G315" s="33">
        <v>-490.01504999999997</v>
      </c>
      <c r="H315" s="28">
        <v>0.35</v>
      </c>
      <c r="I315" s="3" t="s">
        <v>15</v>
      </c>
      <c r="J315" s="3" t="s">
        <v>16</v>
      </c>
      <c r="K315" s="29">
        <v>46205</v>
      </c>
      <c r="L315" s="6">
        <v>46234</v>
      </c>
      <c r="M315" s="6" t="s">
        <v>718</v>
      </c>
      <c r="N315" s="47"/>
      <c r="O315" s="47"/>
    </row>
    <row r="316" spans="1:15">
      <c r="A316" s="103">
        <v>657469</v>
      </c>
      <c r="B316" s="103">
        <v>3850</v>
      </c>
      <c r="C316" s="104">
        <v>7790895009815</v>
      </c>
      <c r="D316" s="105" t="s">
        <v>704</v>
      </c>
      <c r="E316" s="106">
        <v>2800.07</v>
      </c>
      <c r="F316" s="107">
        <v>2100.0525000000002</v>
      </c>
      <c r="G316" s="108">
        <v>-700.01749999999993</v>
      </c>
      <c r="H316" s="109">
        <v>0.25</v>
      </c>
      <c r="I316" s="103" t="s">
        <v>18</v>
      </c>
      <c r="J316" s="103" t="s">
        <v>24</v>
      </c>
      <c r="K316" s="110">
        <v>46205</v>
      </c>
      <c r="L316" s="111">
        <v>46208</v>
      </c>
      <c r="M316" s="6" t="s">
        <v>718</v>
      </c>
      <c r="N316" s="47"/>
      <c r="O316" s="47"/>
    </row>
    <row r="317" spans="1:15">
      <c r="A317" s="103">
        <v>666686</v>
      </c>
      <c r="B317" s="103">
        <v>3834</v>
      </c>
      <c r="C317" s="104">
        <v>7790895646751</v>
      </c>
      <c r="D317" s="105" t="s">
        <v>703</v>
      </c>
      <c r="E317" s="106">
        <v>2000.079</v>
      </c>
      <c r="F317" s="107">
        <v>1500.05925</v>
      </c>
      <c r="G317" s="108">
        <v>-500.01974999999993</v>
      </c>
      <c r="H317" s="109">
        <v>0.25</v>
      </c>
      <c r="I317" s="103" t="s">
        <v>18</v>
      </c>
      <c r="J317" s="103" t="s">
        <v>24</v>
      </c>
      <c r="K317" s="110">
        <v>46205</v>
      </c>
      <c r="L317" s="111">
        <v>46208</v>
      </c>
      <c r="M317" s="6" t="s">
        <v>718</v>
      </c>
      <c r="N317" s="47"/>
      <c r="O317" s="47"/>
    </row>
    <row r="318" spans="1:15">
      <c r="A318" s="3">
        <v>7654</v>
      </c>
      <c r="B318" s="4">
        <v>295</v>
      </c>
      <c r="C318" s="2">
        <v>7790670051350</v>
      </c>
      <c r="D318" s="1" t="s">
        <v>109</v>
      </c>
      <c r="E318" s="32">
        <v>1736.93</v>
      </c>
      <c r="F318" s="33">
        <v>1129.0045</v>
      </c>
      <c r="G318" s="31">
        <v>-607.92550000000006</v>
      </c>
      <c r="H318" s="28">
        <v>0.35</v>
      </c>
      <c r="I318" s="3" t="s">
        <v>15</v>
      </c>
      <c r="J318" s="3" t="s">
        <v>121</v>
      </c>
      <c r="K318" s="29">
        <v>46204</v>
      </c>
      <c r="L318" s="6">
        <v>46234</v>
      </c>
      <c r="M318" s="6" t="s">
        <v>62</v>
      </c>
      <c r="N318" s="47"/>
      <c r="O318" s="47"/>
    </row>
    <row r="319" spans="1:15">
      <c r="A319" s="3">
        <v>657787</v>
      </c>
      <c r="B319" s="4">
        <v>1830</v>
      </c>
      <c r="C319" s="2">
        <v>7790670045199</v>
      </c>
      <c r="D319" s="1" t="s">
        <v>110</v>
      </c>
      <c r="E319" s="32">
        <v>2712.3</v>
      </c>
      <c r="F319" s="33">
        <v>1762.9950000000001</v>
      </c>
      <c r="G319" s="31">
        <v>-949.30500000000006</v>
      </c>
      <c r="H319" s="28">
        <v>0.35</v>
      </c>
      <c r="I319" s="3" t="s">
        <v>15</v>
      </c>
      <c r="J319" s="3" t="s">
        <v>121</v>
      </c>
      <c r="K319" s="29">
        <v>46204</v>
      </c>
      <c r="L319" s="6">
        <v>46234</v>
      </c>
      <c r="M319" s="6" t="s">
        <v>62</v>
      </c>
      <c r="N319" s="47"/>
      <c r="O319" s="47"/>
    </row>
    <row r="320" spans="1:15">
      <c r="A320" s="3">
        <v>3864</v>
      </c>
      <c r="B320" s="4">
        <v>1680</v>
      </c>
      <c r="C320" s="2">
        <v>7790670051220</v>
      </c>
      <c r="D320" s="1" t="s">
        <v>294</v>
      </c>
      <c r="E320" s="32">
        <v>2316.67</v>
      </c>
      <c r="F320" s="33">
        <v>1390.002</v>
      </c>
      <c r="G320" s="31">
        <v>-926.66800000000012</v>
      </c>
      <c r="H320" s="28">
        <v>0.4</v>
      </c>
      <c r="I320" s="3" t="s">
        <v>15</v>
      </c>
      <c r="J320" s="3" t="s">
        <v>114</v>
      </c>
      <c r="K320" s="29">
        <v>46204</v>
      </c>
      <c r="L320" s="6">
        <v>46234</v>
      </c>
      <c r="M320" s="6" t="s">
        <v>62</v>
      </c>
      <c r="N320" s="47"/>
      <c r="O320" s="47"/>
    </row>
    <row r="321" spans="1:15">
      <c r="A321" s="3">
        <v>667246</v>
      </c>
      <c r="B321" s="4">
        <v>549</v>
      </c>
      <c r="C321" s="2">
        <v>7790670052418</v>
      </c>
      <c r="D321" s="1" t="s">
        <v>131</v>
      </c>
      <c r="E321" s="32">
        <v>5903.99</v>
      </c>
      <c r="F321" s="33">
        <v>4132.7929999999997</v>
      </c>
      <c r="G321" s="31">
        <v>-1771.1970000000001</v>
      </c>
      <c r="H321" s="28">
        <v>0.3</v>
      </c>
      <c r="I321" s="3" t="s">
        <v>15</v>
      </c>
      <c r="J321" s="3" t="s">
        <v>115</v>
      </c>
      <c r="K321" s="29">
        <v>46204</v>
      </c>
      <c r="L321" s="6">
        <v>46234</v>
      </c>
      <c r="M321" s="6" t="s">
        <v>62</v>
      </c>
      <c r="N321" s="47"/>
      <c r="O321" s="47"/>
    </row>
    <row r="322" spans="1:15">
      <c r="A322" s="3">
        <v>4192</v>
      </c>
      <c r="B322" s="4">
        <v>1820</v>
      </c>
      <c r="C322" s="2">
        <v>7891515481599</v>
      </c>
      <c r="D322" s="1" t="s">
        <v>111</v>
      </c>
      <c r="E322" s="32">
        <v>3115.37</v>
      </c>
      <c r="F322" s="33">
        <v>2024.9905000000001</v>
      </c>
      <c r="G322" s="31">
        <v>-1090.3794999999998</v>
      </c>
      <c r="H322" s="28">
        <v>0.35</v>
      </c>
      <c r="I322" s="3" t="s">
        <v>15</v>
      </c>
      <c r="J322" s="3" t="s">
        <v>121</v>
      </c>
      <c r="K322" s="29">
        <v>46204</v>
      </c>
      <c r="L322" s="6">
        <v>46234</v>
      </c>
      <c r="M322" s="6" t="s">
        <v>62</v>
      </c>
      <c r="N322" s="47"/>
      <c r="O322" s="47"/>
    </row>
    <row r="323" spans="1:15">
      <c r="A323">
        <v>3788</v>
      </c>
      <c r="B323">
        <v>111744</v>
      </c>
      <c r="C323" s="64">
        <v>7798095170267</v>
      </c>
      <c r="D323" t="s">
        <v>316</v>
      </c>
      <c r="E323" s="47">
        <v>9748.75</v>
      </c>
      <c r="F323" s="47">
        <v>7799</v>
      </c>
      <c r="G323" s="54">
        <v>-1949.75</v>
      </c>
      <c r="H323" s="62">
        <v>0.2</v>
      </c>
      <c r="I323" t="s">
        <v>113</v>
      </c>
      <c r="J323" t="s">
        <v>75</v>
      </c>
      <c r="K323" s="63">
        <v>46204</v>
      </c>
      <c r="L323" s="63">
        <v>46234</v>
      </c>
      <c r="M323" t="s">
        <v>140</v>
      </c>
    </row>
    <row r="324" spans="1:15">
      <c r="A324">
        <v>4699</v>
      </c>
      <c r="B324">
        <v>111720</v>
      </c>
      <c r="C324" s="64">
        <v>7798095170250</v>
      </c>
      <c r="D324" t="s">
        <v>317</v>
      </c>
      <c r="E324" s="47">
        <v>9748.75</v>
      </c>
      <c r="F324" s="47">
        <v>7799</v>
      </c>
      <c r="G324" s="54">
        <v>-1949.75</v>
      </c>
      <c r="H324" s="62">
        <v>0.2</v>
      </c>
      <c r="I324" t="s">
        <v>113</v>
      </c>
      <c r="J324" t="s">
        <v>75</v>
      </c>
      <c r="K324" s="63">
        <v>46204</v>
      </c>
      <c r="L324" s="63">
        <v>46234</v>
      </c>
      <c r="M324" t="s">
        <v>140</v>
      </c>
    </row>
    <row r="325" spans="1:15">
      <c r="A325" s="23">
        <v>102015</v>
      </c>
      <c r="B325" s="23">
        <v>193</v>
      </c>
      <c r="C325" s="22">
        <v>7798079932102</v>
      </c>
      <c r="D325" s="5" t="s">
        <v>257</v>
      </c>
      <c r="E325" s="24">
        <v>2031.028</v>
      </c>
      <c r="F325" s="26">
        <v>1827.9252000000001</v>
      </c>
      <c r="G325" s="31">
        <v>-203.10279999999989</v>
      </c>
      <c r="H325" s="28">
        <v>0.1</v>
      </c>
      <c r="I325" s="3" t="s">
        <v>18</v>
      </c>
      <c r="J325" s="3" t="s">
        <v>23</v>
      </c>
      <c r="K325" s="29">
        <v>46204</v>
      </c>
      <c r="L325" s="6">
        <v>46234</v>
      </c>
      <c r="M325" s="6" t="s">
        <v>63</v>
      </c>
      <c r="N325" s="47"/>
      <c r="O325" s="47"/>
    </row>
    <row r="326" spans="1:15">
      <c r="A326" s="23">
        <v>102018</v>
      </c>
      <c r="B326" s="23">
        <v>195</v>
      </c>
      <c r="C326" s="22">
        <v>7798079932119</v>
      </c>
      <c r="D326" s="5" t="s">
        <v>258</v>
      </c>
      <c r="E326" s="24">
        <v>1785.3440000000001</v>
      </c>
      <c r="F326" s="26">
        <v>1606.8096</v>
      </c>
      <c r="G326" s="31">
        <v>-178.53440000000001</v>
      </c>
      <c r="H326" s="28">
        <v>0.1</v>
      </c>
      <c r="I326" s="3" t="s">
        <v>18</v>
      </c>
      <c r="J326" s="3" t="s">
        <v>23</v>
      </c>
      <c r="K326" s="29">
        <v>46204</v>
      </c>
      <c r="L326" s="6">
        <v>46234</v>
      </c>
      <c r="M326" s="6" t="s">
        <v>63</v>
      </c>
      <c r="N326" s="47"/>
      <c r="O326" s="47"/>
    </row>
    <row r="327" spans="1:15">
      <c r="A327" s="23">
        <v>11252</v>
      </c>
      <c r="B327" s="23">
        <v>198</v>
      </c>
      <c r="C327" s="22">
        <v>7798079932140</v>
      </c>
      <c r="D327" s="5" t="s">
        <v>256</v>
      </c>
      <c r="E327" s="24">
        <v>931.05200000000002</v>
      </c>
      <c r="F327" s="26">
        <v>837.94680000000005</v>
      </c>
      <c r="G327" s="31">
        <v>-93.105199999999968</v>
      </c>
      <c r="H327" s="28">
        <v>0.1</v>
      </c>
      <c r="I327" s="3" t="s">
        <v>18</v>
      </c>
      <c r="J327" s="3" t="s">
        <v>23</v>
      </c>
      <c r="K327" s="29">
        <v>46204</v>
      </c>
      <c r="L327" s="6">
        <v>46234</v>
      </c>
      <c r="M327" s="6" t="s">
        <v>63</v>
      </c>
      <c r="N327" s="47"/>
      <c r="O327" s="47"/>
    </row>
    <row r="328" spans="1:15">
      <c r="A328" s="23">
        <v>6527</v>
      </c>
      <c r="B328" s="23">
        <v>10</v>
      </c>
      <c r="C328" s="22">
        <v>7798089020066</v>
      </c>
      <c r="D328" s="5" t="s">
        <v>255</v>
      </c>
      <c r="E328" s="24">
        <v>1074.02</v>
      </c>
      <c r="F328" s="26">
        <v>966.61800000000005</v>
      </c>
      <c r="G328" s="31">
        <v>-107.40199999999993</v>
      </c>
      <c r="H328" s="28">
        <v>0.1</v>
      </c>
      <c r="I328" s="3" t="s">
        <v>18</v>
      </c>
      <c r="J328" s="3" t="s">
        <v>23</v>
      </c>
      <c r="K328" s="29">
        <v>46204</v>
      </c>
      <c r="L328" s="6">
        <v>46234</v>
      </c>
      <c r="M328" s="6" t="s">
        <v>63</v>
      </c>
      <c r="N328" s="47"/>
      <c r="O328" s="47"/>
    </row>
    <row r="329" spans="1:15">
      <c r="A329">
        <v>8612</v>
      </c>
      <c r="B329">
        <v>1686</v>
      </c>
      <c r="C329" s="64">
        <v>7793913001839</v>
      </c>
      <c r="D329" t="s">
        <v>318</v>
      </c>
      <c r="E329" s="47">
        <v>2248.75</v>
      </c>
      <c r="F329" s="47">
        <v>1799</v>
      </c>
      <c r="G329" s="54">
        <v>-449.75</v>
      </c>
      <c r="H329" s="62">
        <v>0.2</v>
      </c>
      <c r="I329" t="s">
        <v>113</v>
      </c>
      <c r="J329" t="s">
        <v>75</v>
      </c>
      <c r="K329" s="63">
        <v>46204</v>
      </c>
      <c r="L329" s="63">
        <v>46234</v>
      </c>
      <c r="M329" t="s">
        <v>140</v>
      </c>
    </row>
    <row r="330" spans="1:15">
      <c r="A330">
        <v>8610</v>
      </c>
      <c r="B330">
        <v>1685</v>
      </c>
      <c r="C330" s="64">
        <v>7793913001822</v>
      </c>
      <c r="D330" t="s">
        <v>319</v>
      </c>
      <c r="E330" s="47">
        <v>2248.75</v>
      </c>
      <c r="F330" s="47">
        <v>1799</v>
      </c>
      <c r="G330" s="54">
        <v>-449.75</v>
      </c>
      <c r="H330" s="62">
        <v>0.2</v>
      </c>
      <c r="I330" t="s">
        <v>113</v>
      </c>
      <c r="J330" t="s">
        <v>75</v>
      </c>
      <c r="K330" s="63">
        <v>46204</v>
      </c>
      <c r="L330" s="63">
        <v>46234</v>
      </c>
      <c r="M330" t="s">
        <v>140</v>
      </c>
    </row>
    <row r="331" spans="1:15">
      <c r="A331" s="3">
        <v>1411</v>
      </c>
      <c r="B331" s="4">
        <v>403</v>
      </c>
      <c r="C331" s="2">
        <v>7791866000558</v>
      </c>
      <c r="D331" s="1" t="s">
        <v>92</v>
      </c>
      <c r="E331" s="32">
        <v>1145.287</v>
      </c>
      <c r="F331" s="33">
        <v>858.96524999999997</v>
      </c>
      <c r="G331" s="31">
        <v>-286.32175000000007</v>
      </c>
      <c r="H331" s="28">
        <v>0.25</v>
      </c>
      <c r="I331" s="3" t="s">
        <v>18</v>
      </c>
      <c r="J331" s="3" t="s">
        <v>24</v>
      </c>
      <c r="K331" s="29">
        <v>46204</v>
      </c>
      <c r="L331" s="29">
        <v>46234</v>
      </c>
      <c r="M331" s="6" t="s">
        <v>63</v>
      </c>
      <c r="N331" s="47"/>
      <c r="O331" s="47"/>
    </row>
    <row r="332" spans="1:15">
      <c r="A332" s="3">
        <v>7596</v>
      </c>
      <c r="B332" s="4">
        <v>404</v>
      </c>
      <c r="C332" s="2">
        <v>7791866004075</v>
      </c>
      <c r="D332" s="1" t="s">
        <v>93</v>
      </c>
      <c r="E332" s="32">
        <v>2184.0949999999998</v>
      </c>
      <c r="F332" s="33">
        <v>1638.07125</v>
      </c>
      <c r="G332" s="31">
        <v>-546.02374999999984</v>
      </c>
      <c r="H332" s="28">
        <v>0.25</v>
      </c>
      <c r="I332" s="3" t="s">
        <v>18</v>
      </c>
      <c r="J332" s="3" t="s">
        <v>24</v>
      </c>
      <c r="K332" s="29">
        <v>46204</v>
      </c>
      <c r="L332" s="29">
        <v>46234</v>
      </c>
      <c r="M332" s="6" t="s">
        <v>63</v>
      </c>
      <c r="N332" s="47"/>
      <c r="O332" s="47"/>
    </row>
    <row r="333" spans="1:15">
      <c r="A333" s="3">
        <v>7495</v>
      </c>
      <c r="B333" s="4">
        <v>13</v>
      </c>
      <c r="C333" s="2">
        <v>7791866001197</v>
      </c>
      <c r="D333" s="1" t="s">
        <v>273</v>
      </c>
      <c r="E333" s="32">
        <v>1068.9849999999999</v>
      </c>
      <c r="F333" s="33">
        <v>748.28949999999986</v>
      </c>
      <c r="G333" s="31">
        <v>-320.69550000000004</v>
      </c>
      <c r="H333" s="28">
        <v>0.3</v>
      </c>
      <c r="I333" s="3" t="s">
        <v>15</v>
      </c>
      <c r="J333" s="3" t="s">
        <v>115</v>
      </c>
      <c r="K333" s="29">
        <v>46204</v>
      </c>
      <c r="L333" s="29">
        <v>46234</v>
      </c>
      <c r="M333" s="6" t="s">
        <v>63</v>
      </c>
      <c r="N333" s="47"/>
      <c r="O333" s="47"/>
    </row>
    <row r="334" spans="1:15">
      <c r="A334" s="23">
        <v>1415</v>
      </c>
      <c r="B334" s="23">
        <v>16</v>
      </c>
      <c r="C334" s="22">
        <v>7791866001203</v>
      </c>
      <c r="D334" s="5" t="s">
        <v>128</v>
      </c>
      <c r="E334" s="24">
        <v>1677.4390000000001</v>
      </c>
      <c r="F334" s="26">
        <v>1425.8231499999999</v>
      </c>
      <c r="G334" s="31">
        <v>-251.61585000000014</v>
      </c>
      <c r="H334" s="28">
        <v>0.15</v>
      </c>
      <c r="I334" s="3" t="s">
        <v>18</v>
      </c>
      <c r="J334" s="3" t="s">
        <v>70</v>
      </c>
      <c r="K334" s="29">
        <v>46204</v>
      </c>
      <c r="L334" s="6">
        <v>46234</v>
      </c>
      <c r="M334" s="6" t="s">
        <v>63</v>
      </c>
      <c r="N334" s="47"/>
      <c r="O334" s="47"/>
    </row>
    <row r="335" spans="1:15">
      <c r="A335" s="3">
        <v>19679</v>
      </c>
      <c r="B335" s="4">
        <v>710</v>
      </c>
      <c r="C335" s="2">
        <v>7791866000435</v>
      </c>
      <c r="D335" s="1" t="s">
        <v>76</v>
      </c>
      <c r="E335" s="32">
        <v>1543.1089999999999</v>
      </c>
      <c r="F335" s="33">
        <v>1234.4872</v>
      </c>
      <c r="G335" s="31">
        <v>-308.62179999999989</v>
      </c>
      <c r="H335" s="28">
        <v>0.2</v>
      </c>
      <c r="I335" s="3" t="s">
        <v>18</v>
      </c>
      <c r="J335" s="3" t="s">
        <v>75</v>
      </c>
      <c r="K335" s="29">
        <v>46204</v>
      </c>
      <c r="L335" s="29">
        <v>46234</v>
      </c>
      <c r="M335" s="6" t="s">
        <v>63</v>
      </c>
      <c r="N335" s="47"/>
      <c r="O335" s="47"/>
    </row>
    <row r="336" spans="1:15">
      <c r="A336" s="3">
        <v>662226</v>
      </c>
      <c r="B336" s="4">
        <v>6883</v>
      </c>
      <c r="C336" s="2">
        <v>7793890258295</v>
      </c>
      <c r="D336" s="1" t="s">
        <v>86</v>
      </c>
      <c r="E336" s="32">
        <v>9389</v>
      </c>
      <c r="F336" s="33">
        <v>7511.2000000000007</v>
      </c>
      <c r="G336" s="31">
        <v>-1877.7999999999993</v>
      </c>
      <c r="H336" s="28">
        <v>0.2</v>
      </c>
      <c r="I336" s="3" t="s">
        <v>293</v>
      </c>
      <c r="J336" s="3" t="s">
        <v>75</v>
      </c>
      <c r="K336" s="29">
        <v>46204</v>
      </c>
      <c r="L336" s="6">
        <v>46234</v>
      </c>
      <c r="M336" s="6" t="s">
        <v>82</v>
      </c>
      <c r="N336" s="47"/>
      <c r="O336" s="47"/>
    </row>
    <row r="337" spans="1:15">
      <c r="A337" s="3">
        <v>11137</v>
      </c>
      <c r="B337" s="4">
        <v>6882</v>
      </c>
      <c r="C337" s="2">
        <v>7796989008542</v>
      </c>
      <c r="D337" s="1" t="s">
        <v>87</v>
      </c>
      <c r="E337" s="32">
        <v>8609</v>
      </c>
      <c r="F337" s="33">
        <v>6887.2000000000007</v>
      </c>
      <c r="G337" s="31">
        <v>-1721.7999999999993</v>
      </c>
      <c r="H337" s="28">
        <v>0.2</v>
      </c>
      <c r="I337" s="3" t="s">
        <v>293</v>
      </c>
      <c r="J337" s="3" t="s">
        <v>75</v>
      </c>
      <c r="K337" s="29">
        <v>46204</v>
      </c>
      <c r="L337" s="6">
        <v>46234</v>
      </c>
      <c r="M337" s="6" t="s">
        <v>82</v>
      </c>
      <c r="N337" s="47"/>
      <c r="O337" s="47"/>
    </row>
    <row r="338" spans="1:15">
      <c r="A338" s="3">
        <v>667065</v>
      </c>
      <c r="B338" s="4">
        <v>6888</v>
      </c>
      <c r="C338" s="2">
        <v>7793890262407</v>
      </c>
      <c r="D338" s="1" t="s">
        <v>129</v>
      </c>
      <c r="E338" s="32">
        <v>8300</v>
      </c>
      <c r="F338" s="33">
        <v>6640</v>
      </c>
      <c r="G338" s="31">
        <v>-1660</v>
      </c>
      <c r="H338" s="28">
        <v>0.2</v>
      </c>
      <c r="I338" s="3" t="s">
        <v>293</v>
      </c>
      <c r="J338" s="3" t="s">
        <v>75</v>
      </c>
      <c r="K338" s="29">
        <v>46204</v>
      </c>
      <c r="L338" s="6">
        <v>46234</v>
      </c>
      <c r="M338" s="6" t="s">
        <v>82</v>
      </c>
      <c r="N338" s="47"/>
      <c r="O338" s="47"/>
    </row>
    <row r="339" spans="1:15">
      <c r="A339" s="3">
        <v>664836</v>
      </c>
      <c r="B339" s="4">
        <v>6848</v>
      </c>
      <c r="C339" s="2">
        <v>7793890259957</v>
      </c>
      <c r="D339" s="1" t="s">
        <v>91</v>
      </c>
      <c r="E339" s="32">
        <v>5805</v>
      </c>
      <c r="F339" s="33">
        <v>4353.75</v>
      </c>
      <c r="G339" s="31">
        <v>-1451.25</v>
      </c>
      <c r="H339" s="28">
        <v>0.25</v>
      </c>
      <c r="I339" s="3" t="s">
        <v>293</v>
      </c>
      <c r="J339" s="3" t="s">
        <v>24</v>
      </c>
      <c r="K339" s="29">
        <v>46204</v>
      </c>
      <c r="L339" s="6">
        <v>46234</v>
      </c>
      <c r="M339" s="6" t="s">
        <v>82</v>
      </c>
      <c r="N339" s="47"/>
      <c r="O339" s="47"/>
    </row>
    <row r="340" spans="1:15">
      <c r="A340" s="3">
        <v>664162</v>
      </c>
      <c r="B340" s="4">
        <v>6847</v>
      </c>
      <c r="C340" s="2">
        <v>7793890259193</v>
      </c>
      <c r="D340" s="1" t="s">
        <v>90</v>
      </c>
      <c r="E340" s="32">
        <v>6390</v>
      </c>
      <c r="F340" s="33">
        <v>4792.5</v>
      </c>
      <c r="G340" s="31">
        <v>-1597.5</v>
      </c>
      <c r="H340" s="28">
        <v>0.25</v>
      </c>
      <c r="I340" s="3" t="s">
        <v>293</v>
      </c>
      <c r="J340" s="3" t="s">
        <v>24</v>
      </c>
      <c r="K340" s="29">
        <v>46204</v>
      </c>
      <c r="L340" s="6">
        <v>46234</v>
      </c>
      <c r="M340" s="6" t="s">
        <v>82</v>
      </c>
      <c r="N340" s="47"/>
      <c r="O340" s="47"/>
    </row>
    <row r="341" spans="1:15">
      <c r="A341" s="3">
        <v>11763</v>
      </c>
      <c r="B341" s="4">
        <v>6804</v>
      </c>
      <c r="C341" s="2">
        <v>7796989007620</v>
      </c>
      <c r="D341" s="1" t="s">
        <v>106</v>
      </c>
      <c r="E341" s="32">
        <v>6219</v>
      </c>
      <c r="F341" s="33">
        <v>4353.2999999999993</v>
      </c>
      <c r="G341" s="31">
        <v>-1865.7000000000007</v>
      </c>
      <c r="H341" s="28">
        <v>0.3</v>
      </c>
      <c r="I341" s="3" t="s">
        <v>293</v>
      </c>
      <c r="J341" s="3" t="s">
        <v>94</v>
      </c>
      <c r="K341" s="29">
        <v>46204</v>
      </c>
      <c r="L341" s="6">
        <v>46234</v>
      </c>
      <c r="M341" s="6" t="s">
        <v>82</v>
      </c>
      <c r="N341" s="47"/>
      <c r="O341" s="47"/>
    </row>
    <row r="342" spans="1:15">
      <c r="A342" s="3">
        <v>14780</v>
      </c>
      <c r="B342" s="4">
        <v>6801</v>
      </c>
      <c r="C342" s="2">
        <v>7796989008511</v>
      </c>
      <c r="D342" s="1" t="s">
        <v>105</v>
      </c>
      <c r="E342" s="32">
        <v>8699</v>
      </c>
      <c r="F342" s="33">
        <v>6089.2999999999993</v>
      </c>
      <c r="G342" s="31">
        <v>-2609.7000000000007</v>
      </c>
      <c r="H342" s="28">
        <v>0.3</v>
      </c>
      <c r="I342" s="3" t="s">
        <v>293</v>
      </c>
      <c r="J342" s="3" t="s">
        <v>94</v>
      </c>
      <c r="K342" s="29">
        <v>46204</v>
      </c>
      <c r="L342" s="6">
        <v>46234</v>
      </c>
      <c r="M342" s="6" t="s">
        <v>82</v>
      </c>
      <c r="N342" s="47"/>
      <c r="O342" s="47"/>
    </row>
    <row r="343" spans="1:15">
      <c r="A343" s="3">
        <v>14762</v>
      </c>
      <c r="B343" s="4">
        <v>6811</v>
      </c>
      <c r="C343" s="2">
        <v>7796989004292</v>
      </c>
      <c r="D343" s="1" t="s">
        <v>88</v>
      </c>
      <c r="E343" s="32">
        <v>11259</v>
      </c>
      <c r="F343" s="33">
        <v>8444.25</v>
      </c>
      <c r="G343" s="31">
        <v>-2814.75</v>
      </c>
      <c r="H343" s="28">
        <v>0.25</v>
      </c>
      <c r="I343" s="3" t="s">
        <v>293</v>
      </c>
      <c r="J343" s="3" t="s">
        <v>24</v>
      </c>
      <c r="K343" s="29">
        <v>46204</v>
      </c>
      <c r="L343" s="6">
        <v>46234</v>
      </c>
      <c r="M343" s="6" t="s">
        <v>82</v>
      </c>
      <c r="N343" s="47"/>
      <c r="O343" s="47"/>
    </row>
    <row r="344" spans="1:15">
      <c r="A344" s="3">
        <v>14761</v>
      </c>
      <c r="B344" s="4">
        <v>6812</v>
      </c>
      <c r="C344" s="2">
        <v>7796989009983</v>
      </c>
      <c r="D344" s="1" t="s">
        <v>89</v>
      </c>
      <c r="E344" s="32">
        <v>11259</v>
      </c>
      <c r="F344" s="33">
        <v>8444.25</v>
      </c>
      <c r="G344" s="31">
        <v>-2814.75</v>
      </c>
      <c r="H344" s="28">
        <v>0.25</v>
      </c>
      <c r="I344" s="3" t="s">
        <v>293</v>
      </c>
      <c r="J344" s="3" t="s">
        <v>24</v>
      </c>
      <c r="K344" s="29">
        <v>46204</v>
      </c>
      <c r="L344" s="6">
        <v>46234</v>
      </c>
      <c r="M344" s="6" t="s">
        <v>82</v>
      </c>
      <c r="N344" s="47"/>
      <c r="O344" s="47"/>
    </row>
    <row r="345" spans="1:15">
      <c r="A345" s="3">
        <v>667069</v>
      </c>
      <c r="B345" s="4">
        <v>6892</v>
      </c>
      <c r="C345" s="2">
        <v>7793890261837</v>
      </c>
      <c r="D345" s="1" t="s">
        <v>130</v>
      </c>
      <c r="E345" s="32">
        <v>11259</v>
      </c>
      <c r="F345" s="33">
        <v>8444.25</v>
      </c>
      <c r="G345" s="31">
        <v>-2814.75</v>
      </c>
      <c r="H345" s="28">
        <v>0.25</v>
      </c>
      <c r="I345" s="3" t="s">
        <v>293</v>
      </c>
      <c r="J345" s="3" t="s">
        <v>24</v>
      </c>
      <c r="K345" s="29">
        <v>46204</v>
      </c>
      <c r="L345" s="6">
        <v>46234</v>
      </c>
      <c r="M345" s="6" t="s">
        <v>82</v>
      </c>
      <c r="N345" s="47"/>
      <c r="O345" s="47"/>
    </row>
    <row r="346" spans="1:15">
      <c r="A346" s="3">
        <v>664049</v>
      </c>
      <c r="B346" s="4">
        <v>6826</v>
      </c>
      <c r="C346" s="2">
        <v>7793890259056</v>
      </c>
      <c r="D346" s="1" t="s">
        <v>108</v>
      </c>
      <c r="E346" s="32">
        <v>6850</v>
      </c>
      <c r="F346" s="33">
        <v>5480</v>
      </c>
      <c r="G346" s="31">
        <v>-1370</v>
      </c>
      <c r="H346" s="28">
        <v>0.2</v>
      </c>
      <c r="I346" s="3" t="s">
        <v>293</v>
      </c>
      <c r="J346" s="3" t="s">
        <v>75</v>
      </c>
      <c r="K346" s="29">
        <v>46204</v>
      </c>
      <c r="L346" s="6">
        <v>46234</v>
      </c>
      <c r="M346" s="6" t="s">
        <v>82</v>
      </c>
      <c r="N346" s="47"/>
      <c r="O346" s="47"/>
    </row>
    <row r="347" spans="1:15">
      <c r="A347" s="3">
        <v>11765</v>
      </c>
      <c r="B347" s="4">
        <v>6808</v>
      </c>
      <c r="C347" s="2">
        <v>7796989007699</v>
      </c>
      <c r="D347" s="1" t="s">
        <v>146</v>
      </c>
      <c r="E347" s="32">
        <v>4320</v>
      </c>
      <c r="F347" s="33">
        <v>3672</v>
      </c>
      <c r="G347" s="31">
        <v>-648</v>
      </c>
      <c r="H347" s="28">
        <v>0.15</v>
      </c>
      <c r="I347" s="3" t="s">
        <v>18</v>
      </c>
      <c r="J347" s="3" t="s">
        <v>70</v>
      </c>
      <c r="K347" s="29">
        <v>46204</v>
      </c>
      <c r="L347" s="6">
        <v>46234</v>
      </c>
      <c r="M347" s="6" t="s">
        <v>82</v>
      </c>
      <c r="N347" s="47"/>
      <c r="O347" s="47"/>
    </row>
    <row r="348" spans="1:15">
      <c r="A348" s="3">
        <v>664048</v>
      </c>
      <c r="B348" s="4">
        <v>6807</v>
      </c>
      <c r="C348" s="2">
        <v>7793890259063</v>
      </c>
      <c r="D348" s="1" t="s">
        <v>107</v>
      </c>
      <c r="E348" s="32">
        <v>6849</v>
      </c>
      <c r="F348" s="33">
        <v>4794.2999999999993</v>
      </c>
      <c r="G348" s="31">
        <v>-2054.7000000000007</v>
      </c>
      <c r="H348" s="28">
        <v>0.3</v>
      </c>
      <c r="I348" s="3" t="s">
        <v>293</v>
      </c>
      <c r="J348" s="3" t="s">
        <v>94</v>
      </c>
      <c r="K348" s="29">
        <v>46204</v>
      </c>
      <c r="L348" s="6">
        <v>46234</v>
      </c>
      <c r="M348" s="6" t="s">
        <v>82</v>
      </c>
      <c r="N348" s="47"/>
      <c r="O348" s="47"/>
    </row>
    <row r="349" spans="1:15">
      <c r="A349" s="3">
        <v>11764</v>
      </c>
      <c r="B349" s="4">
        <v>6810</v>
      </c>
      <c r="C349" s="2">
        <v>7796989007729</v>
      </c>
      <c r="D349" s="1" t="s">
        <v>147</v>
      </c>
      <c r="E349" s="32">
        <v>4320</v>
      </c>
      <c r="F349" s="33">
        <v>3672</v>
      </c>
      <c r="G349" s="31">
        <v>-648</v>
      </c>
      <c r="H349" s="28">
        <v>0.15</v>
      </c>
      <c r="I349" s="3" t="s">
        <v>18</v>
      </c>
      <c r="J349" s="3" t="s">
        <v>70</v>
      </c>
      <c r="K349" s="29">
        <v>46204</v>
      </c>
      <c r="L349" s="6">
        <v>46234</v>
      </c>
      <c r="M349" s="6" t="s">
        <v>82</v>
      </c>
      <c r="N349" s="47"/>
      <c r="O349" s="47"/>
    </row>
    <row r="350" spans="1:15">
      <c r="A350" s="3">
        <v>666982</v>
      </c>
      <c r="B350" s="4">
        <v>6887</v>
      </c>
      <c r="C350" s="2">
        <v>7793890262179</v>
      </c>
      <c r="D350" s="1" t="s">
        <v>148</v>
      </c>
      <c r="E350" s="32">
        <v>3245.5</v>
      </c>
      <c r="F350" s="33">
        <v>2596.4</v>
      </c>
      <c r="G350" s="31">
        <v>-649.09999999999991</v>
      </c>
      <c r="H350" s="28">
        <v>0.2</v>
      </c>
      <c r="I350" s="3" t="s">
        <v>18</v>
      </c>
      <c r="J350" s="3" t="s">
        <v>75</v>
      </c>
      <c r="K350" s="29">
        <v>46204</v>
      </c>
      <c r="L350" s="6">
        <v>46234</v>
      </c>
      <c r="M350" s="6" t="s">
        <v>82</v>
      </c>
      <c r="N350" s="47"/>
      <c r="O350" s="47"/>
    </row>
    <row r="351" spans="1:15">
      <c r="A351" s="3">
        <v>14742</v>
      </c>
      <c r="B351" s="4">
        <v>6885</v>
      </c>
      <c r="C351" s="2">
        <v>7796989074905</v>
      </c>
      <c r="D351" s="1" t="s">
        <v>149</v>
      </c>
      <c r="E351" s="32">
        <v>3246</v>
      </c>
      <c r="F351" s="33">
        <v>2596.8000000000002</v>
      </c>
      <c r="G351" s="31">
        <v>-649.19999999999982</v>
      </c>
      <c r="H351" s="28">
        <v>0.2</v>
      </c>
      <c r="I351" s="3" t="s">
        <v>18</v>
      </c>
      <c r="J351" s="3" t="s">
        <v>75</v>
      </c>
      <c r="K351" s="29">
        <v>46204</v>
      </c>
      <c r="L351" s="6">
        <v>46234</v>
      </c>
      <c r="M351" s="6" t="s">
        <v>82</v>
      </c>
      <c r="N351" s="47"/>
      <c r="O351" s="47"/>
    </row>
    <row r="352" spans="1:15">
      <c r="A352" s="3">
        <v>664597</v>
      </c>
      <c r="B352" s="4">
        <v>6884</v>
      </c>
      <c r="C352" s="2">
        <v>7793890261073</v>
      </c>
      <c r="D352" s="1" t="s">
        <v>150</v>
      </c>
      <c r="E352" s="32">
        <v>8335</v>
      </c>
      <c r="F352" s="33">
        <v>6668</v>
      </c>
      <c r="G352" s="31">
        <v>-1667</v>
      </c>
      <c r="H352" s="28">
        <v>0.2</v>
      </c>
      <c r="I352" s="3" t="s">
        <v>18</v>
      </c>
      <c r="J352" s="3" t="s">
        <v>75</v>
      </c>
      <c r="K352" s="29">
        <v>46204</v>
      </c>
      <c r="L352" s="6">
        <v>46234</v>
      </c>
      <c r="M352" s="6" t="s">
        <v>82</v>
      </c>
      <c r="N352" s="47"/>
      <c r="O352" s="47"/>
    </row>
    <row r="353" spans="1:15">
      <c r="A353" s="3">
        <v>14743</v>
      </c>
      <c r="B353" s="4">
        <v>6886</v>
      </c>
      <c r="C353" s="2">
        <v>7796989074912</v>
      </c>
      <c r="D353" s="1" t="s">
        <v>151</v>
      </c>
      <c r="E353" s="32">
        <v>3245.5</v>
      </c>
      <c r="F353" s="33">
        <v>2596.4</v>
      </c>
      <c r="G353" s="31">
        <v>-649.09999999999991</v>
      </c>
      <c r="H353" s="28">
        <v>0.2</v>
      </c>
      <c r="I353" s="3" t="s">
        <v>18</v>
      </c>
      <c r="J353" s="3" t="s">
        <v>75</v>
      </c>
      <c r="K353" s="29">
        <v>46204</v>
      </c>
      <c r="L353" s="6">
        <v>46234</v>
      </c>
      <c r="M353" s="6" t="s">
        <v>82</v>
      </c>
      <c r="N353" s="47"/>
      <c r="O353" s="47"/>
    </row>
    <row r="354" spans="1:15">
      <c r="A354" s="3">
        <v>667222</v>
      </c>
      <c r="B354" s="4">
        <v>6893</v>
      </c>
      <c r="C354" s="2">
        <v>7793890262377</v>
      </c>
      <c r="D354" s="1" t="s">
        <v>152</v>
      </c>
      <c r="E354" s="32">
        <v>7353</v>
      </c>
      <c r="F354" s="33">
        <v>5882.4000000000005</v>
      </c>
      <c r="G354" s="31">
        <v>-1470.5999999999995</v>
      </c>
      <c r="H354" s="28">
        <v>0.2</v>
      </c>
      <c r="I354" s="3" t="s">
        <v>18</v>
      </c>
      <c r="J354" s="3" t="s">
        <v>75</v>
      </c>
      <c r="K354" s="29">
        <v>46204</v>
      </c>
      <c r="L354" s="6">
        <v>46234</v>
      </c>
      <c r="M354" s="6" t="s">
        <v>82</v>
      </c>
      <c r="N354" s="47"/>
      <c r="O354" s="47"/>
    </row>
    <row r="355" spans="1:15">
      <c r="A355" s="3">
        <v>1603</v>
      </c>
      <c r="B355" s="4">
        <v>6720</v>
      </c>
      <c r="C355" s="2">
        <v>7793890022759</v>
      </c>
      <c r="D355" s="1" t="s">
        <v>153</v>
      </c>
      <c r="E355" s="32">
        <v>2774</v>
      </c>
      <c r="F355" s="33">
        <v>2357.9</v>
      </c>
      <c r="G355" s="31">
        <v>-416.09999999999991</v>
      </c>
      <c r="H355" s="28">
        <v>0.15</v>
      </c>
      <c r="I355" s="3" t="s">
        <v>18</v>
      </c>
      <c r="J355" s="3" t="s">
        <v>70</v>
      </c>
      <c r="K355" s="29">
        <v>46204</v>
      </c>
      <c r="L355" s="6">
        <v>46234</v>
      </c>
      <c r="M355" s="6" t="s">
        <v>82</v>
      </c>
      <c r="N355" s="47"/>
      <c r="O355" s="47"/>
    </row>
    <row r="356" spans="1:15">
      <c r="A356" s="3">
        <v>1590</v>
      </c>
      <c r="B356" s="4">
        <v>6716</v>
      </c>
      <c r="C356" s="2">
        <v>7793890250992</v>
      </c>
      <c r="D356" s="1" t="s">
        <v>81</v>
      </c>
      <c r="E356" s="32">
        <v>3469</v>
      </c>
      <c r="F356" s="33">
        <v>2775.2000000000003</v>
      </c>
      <c r="G356" s="31">
        <v>-693.79999999999973</v>
      </c>
      <c r="H356" s="28">
        <v>0.2</v>
      </c>
      <c r="I356" s="3" t="s">
        <v>293</v>
      </c>
      <c r="J356" s="3" t="s">
        <v>75</v>
      </c>
      <c r="K356" s="29">
        <v>46204</v>
      </c>
      <c r="L356" s="6">
        <v>46234</v>
      </c>
      <c r="M356" s="6" t="s">
        <v>82</v>
      </c>
      <c r="N356" s="47"/>
      <c r="O356" s="47"/>
    </row>
    <row r="357" spans="1:15">
      <c r="A357" s="3">
        <v>1607</v>
      </c>
      <c r="B357" s="4">
        <v>6719</v>
      </c>
      <c r="C357" s="2">
        <v>7793890116274</v>
      </c>
      <c r="D357" s="1" t="s">
        <v>83</v>
      </c>
      <c r="E357" s="32">
        <v>4939</v>
      </c>
      <c r="F357" s="33">
        <v>3951.2000000000003</v>
      </c>
      <c r="G357" s="31">
        <v>-987.79999999999973</v>
      </c>
      <c r="H357" s="28">
        <v>0.2</v>
      </c>
      <c r="I357" s="3" t="s">
        <v>293</v>
      </c>
      <c r="J357" s="3" t="s">
        <v>75</v>
      </c>
      <c r="K357" s="29">
        <v>46204</v>
      </c>
      <c r="L357" s="6">
        <v>46234</v>
      </c>
      <c r="M357" s="6" t="s">
        <v>82</v>
      </c>
      <c r="N357" s="47"/>
      <c r="O357" s="47"/>
    </row>
    <row r="358" spans="1:15">
      <c r="A358" s="3">
        <v>1608</v>
      </c>
      <c r="B358" s="4">
        <v>6721</v>
      </c>
      <c r="C358" s="2">
        <v>7793890022766</v>
      </c>
      <c r="D358" s="1" t="s">
        <v>154</v>
      </c>
      <c r="E358" s="32">
        <v>2774</v>
      </c>
      <c r="F358" s="33">
        <v>2357.9</v>
      </c>
      <c r="G358" s="31">
        <v>-416.09999999999991</v>
      </c>
      <c r="H358" s="28">
        <v>0.15</v>
      </c>
      <c r="I358" s="3" t="s">
        <v>18</v>
      </c>
      <c r="J358" s="3" t="s">
        <v>70</v>
      </c>
      <c r="K358" s="29">
        <v>46204</v>
      </c>
      <c r="L358" s="6">
        <v>46234</v>
      </c>
      <c r="M358" s="6" t="s">
        <v>82</v>
      </c>
      <c r="N358" s="47"/>
      <c r="O358" s="47"/>
    </row>
    <row r="359" spans="1:15">
      <c r="A359" s="3">
        <v>11190</v>
      </c>
      <c r="B359" s="4">
        <v>6722</v>
      </c>
      <c r="C359" s="2">
        <v>7793890016307</v>
      </c>
      <c r="D359" s="1" t="s">
        <v>85</v>
      </c>
      <c r="E359" s="32">
        <v>5725</v>
      </c>
      <c r="F359" s="33">
        <v>4293.75</v>
      </c>
      <c r="G359" s="31">
        <v>-1431.25</v>
      </c>
      <c r="H359" s="28">
        <v>0.25</v>
      </c>
      <c r="I359" s="3" t="s">
        <v>293</v>
      </c>
      <c r="J359" s="3" t="s">
        <v>24</v>
      </c>
      <c r="K359" s="29">
        <v>46204</v>
      </c>
      <c r="L359" s="6">
        <v>46234</v>
      </c>
      <c r="M359" s="6" t="s">
        <v>82</v>
      </c>
      <c r="N359" s="47"/>
      <c r="O359" s="47"/>
    </row>
    <row r="360" spans="1:15">
      <c r="A360" s="3">
        <v>5701</v>
      </c>
      <c r="B360" s="4">
        <v>1912</v>
      </c>
      <c r="C360" s="2">
        <v>7793890019124</v>
      </c>
      <c r="D360" s="1" t="s">
        <v>98</v>
      </c>
      <c r="E360" s="32">
        <v>6425</v>
      </c>
      <c r="F360" s="33">
        <v>4176.25</v>
      </c>
      <c r="G360" s="31">
        <v>-2248.75</v>
      </c>
      <c r="H360" s="28">
        <v>0.35</v>
      </c>
      <c r="I360" s="3" t="s">
        <v>293</v>
      </c>
      <c r="J360" s="3" t="s">
        <v>112</v>
      </c>
      <c r="K360" s="29">
        <v>46204</v>
      </c>
      <c r="L360" s="6">
        <v>46234</v>
      </c>
      <c r="M360" s="6" t="s">
        <v>82</v>
      </c>
      <c r="N360" s="47"/>
      <c r="O360" s="47"/>
    </row>
    <row r="361" spans="1:15">
      <c r="A361" s="3">
        <v>7318</v>
      </c>
      <c r="B361" s="4">
        <v>6712</v>
      </c>
      <c r="C361" s="2">
        <v>7793890116175</v>
      </c>
      <c r="D361" s="1" t="s">
        <v>103</v>
      </c>
      <c r="E361" s="32">
        <v>7160</v>
      </c>
      <c r="F361" s="33">
        <v>4654</v>
      </c>
      <c r="G361" s="31">
        <v>-2506</v>
      </c>
      <c r="H361" s="28">
        <v>0.35</v>
      </c>
      <c r="I361" s="3" t="s">
        <v>293</v>
      </c>
      <c r="J361" s="3" t="s">
        <v>112</v>
      </c>
      <c r="K361" s="29">
        <v>46204</v>
      </c>
      <c r="L361" s="6">
        <v>46234</v>
      </c>
      <c r="M361" s="6" t="s">
        <v>82</v>
      </c>
      <c r="N361" s="47"/>
      <c r="O361" s="47"/>
    </row>
    <row r="362" spans="1:15">
      <c r="A362" s="3">
        <v>664069</v>
      </c>
      <c r="B362" s="4">
        <v>6705</v>
      </c>
      <c r="C362" s="2">
        <v>7793890259704</v>
      </c>
      <c r="D362" s="1" t="s">
        <v>102</v>
      </c>
      <c r="E362" s="32">
        <v>5800</v>
      </c>
      <c r="F362" s="33">
        <v>3770</v>
      </c>
      <c r="G362" s="31">
        <v>-2030</v>
      </c>
      <c r="H362" s="28">
        <v>0.35</v>
      </c>
      <c r="I362" s="3" t="s">
        <v>293</v>
      </c>
      <c r="J362" s="3" t="s">
        <v>112</v>
      </c>
      <c r="K362" s="29">
        <v>46204</v>
      </c>
      <c r="L362" s="6">
        <v>46234</v>
      </c>
      <c r="M362" s="6" t="s">
        <v>82</v>
      </c>
      <c r="N362" s="47"/>
      <c r="O362" s="47"/>
    </row>
    <row r="363" spans="1:15">
      <c r="A363" s="3">
        <v>1579</v>
      </c>
      <c r="B363" s="4">
        <v>6724</v>
      </c>
      <c r="C363" s="2">
        <v>7793890100099</v>
      </c>
      <c r="D363" s="1" t="s">
        <v>104</v>
      </c>
      <c r="E363" s="32">
        <v>6430</v>
      </c>
      <c r="F363" s="33">
        <v>4179.5</v>
      </c>
      <c r="G363" s="31">
        <v>-2250.5</v>
      </c>
      <c r="H363" s="28">
        <v>0.35</v>
      </c>
      <c r="I363" s="3" t="s">
        <v>293</v>
      </c>
      <c r="J363" s="3" t="s">
        <v>112</v>
      </c>
      <c r="K363" s="29">
        <v>46204</v>
      </c>
      <c r="L363" s="6">
        <v>46234</v>
      </c>
      <c r="M363" s="6" t="s">
        <v>82</v>
      </c>
      <c r="N363" s="47"/>
      <c r="O363" s="47"/>
    </row>
    <row r="364" spans="1:15">
      <c r="A364" s="3">
        <v>101912</v>
      </c>
      <c r="B364" s="4">
        <v>6701</v>
      </c>
      <c r="C364" s="2">
        <v>7793890257922</v>
      </c>
      <c r="D364" s="1" t="s">
        <v>99</v>
      </c>
      <c r="E364" s="32">
        <v>7159</v>
      </c>
      <c r="F364" s="33">
        <v>4653.3500000000004</v>
      </c>
      <c r="G364" s="31">
        <v>-2505.6499999999996</v>
      </c>
      <c r="H364" s="28">
        <v>0.35</v>
      </c>
      <c r="I364" s="3" t="s">
        <v>293</v>
      </c>
      <c r="J364" s="3" t="s">
        <v>112</v>
      </c>
      <c r="K364" s="29">
        <v>46204</v>
      </c>
      <c r="L364" s="6">
        <v>46234</v>
      </c>
      <c r="M364" s="6" t="s">
        <v>82</v>
      </c>
      <c r="N364" s="47"/>
      <c r="O364" s="47"/>
    </row>
    <row r="365" spans="1:15">
      <c r="A365" s="3">
        <v>7910</v>
      </c>
      <c r="B365" s="4">
        <v>6706</v>
      </c>
      <c r="C365" s="2">
        <v>7793890016185</v>
      </c>
      <c r="D365" s="1" t="s">
        <v>100</v>
      </c>
      <c r="E365" s="32">
        <v>6220</v>
      </c>
      <c r="F365" s="33">
        <v>4043</v>
      </c>
      <c r="G365" s="31">
        <v>-2177</v>
      </c>
      <c r="H365" s="28">
        <v>0.35</v>
      </c>
      <c r="I365" s="3" t="s">
        <v>293</v>
      </c>
      <c r="J365" s="3" t="s">
        <v>112</v>
      </c>
      <c r="K365" s="29">
        <v>46204</v>
      </c>
      <c r="L365" s="6">
        <v>46234</v>
      </c>
      <c r="M365" s="6" t="s">
        <v>82</v>
      </c>
      <c r="N365" s="47"/>
      <c r="O365" s="47"/>
    </row>
    <row r="366" spans="1:15">
      <c r="A366" s="3">
        <v>1594</v>
      </c>
      <c r="B366" s="4">
        <v>6708</v>
      </c>
      <c r="C366" s="2">
        <v>7793890100068</v>
      </c>
      <c r="D366" s="1" t="s">
        <v>101</v>
      </c>
      <c r="E366" s="32">
        <v>8245</v>
      </c>
      <c r="F366" s="33">
        <v>5359.25</v>
      </c>
      <c r="G366" s="31">
        <v>-2885.75</v>
      </c>
      <c r="H366" s="28">
        <v>0.35</v>
      </c>
      <c r="I366" s="3" t="s">
        <v>293</v>
      </c>
      <c r="J366" s="3" t="s">
        <v>112</v>
      </c>
      <c r="K366" s="29">
        <v>46204</v>
      </c>
      <c r="L366" s="6">
        <v>46234</v>
      </c>
      <c r="M366" s="6" t="s">
        <v>82</v>
      </c>
      <c r="N366" s="47"/>
      <c r="O366" s="47"/>
    </row>
    <row r="367" spans="1:15">
      <c r="A367" s="3">
        <v>658227</v>
      </c>
      <c r="B367" s="4">
        <v>6732</v>
      </c>
      <c r="C367" s="2">
        <v>7793890251432</v>
      </c>
      <c r="D367" s="1" t="s">
        <v>84</v>
      </c>
      <c r="E367" s="32">
        <v>4350</v>
      </c>
      <c r="F367" s="33">
        <v>3262.5</v>
      </c>
      <c r="G367" s="31">
        <v>-1087.5</v>
      </c>
      <c r="H367" s="28">
        <v>0.25</v>
      </c>
      <c r="I367" s="3" t="s">
        <v>293</v>
      </c>
      <c r="J367" s="3" t="s">
        <v>24</v>
      </c>
      <c r="K367" s="29">
        <v>46204</v>
      </c>
      <c r="L367" s="6">
        <v>46234</v>
      </c>
      <c r="M367" s="6" t="s">
        <v>82</v>
      </c>
      <c r="N367" s="47"/>
      <c r="O367" s="47"/>
    </row>
    <row r="368" spans="1:15">
      <c r="A368" s="3">
        <v>664595</v>
      </c>
      <c r="B368" s="4">
        <v>7475</v>
      </c>
      <c r="C368" s="2">
        <v>7793890260915</v>
      </c>
      <c r="D368" s="1" t="s">
        <v>155</v>
      </c>
      <c r="E368" s="32">
        <v>7670</v>
      </c>
      <c r="F368" s="33">
        <v>6136</v>
      </c>
      <c r="G368" s="31">
        <v>-1534</v>
      </c>
      <c r="H368" s="28">
        <v>0.2</v>
      </c>
      <c r="I368" s="3" t="s">
        <v>18</v>
      </c>
      <c r="J368" s="3" t="s">
        <v>75</v>
      </c>
      <c r="K368" s="29">
        <v>46204</v>
      </c>
      <c r="L368" s="6">
        <v>46234</v>
      </c>
      <c r="M368" s="6" t="s">
        <v>82</v>
      </c>
      <c r="N368" s="47"/>
      <c r="O368" s="47"/>
    </row>
    <row r="369" spans="1:15">
      <c r="A369" s="3">
        <v>11956</v>
      </c>
      <c r="B369" s="4">
        <v>7476</v>
      </c>
      <c r="C369" s="2">
        <v>7793890002577</v>
      </c>
      <c r="D369" s="1" t="s">
        <v>156</v>
      </c>
      <c r="E369" s="32">
        <v>3499</v>
      </c>
      <c r="F369" s="33">
        <v>2799.2000000000003</v>
      </c>
      <c r="G369" s="31">
        <v>-699.79999999999973</v>
      </c>
      <c r="H369" s="28">
        <v>0.2</v>
      </c>
      <c r="I369" s="3" t="s">
        <v>18</v>
      </c>
      <c r="J369" s="3" t="s">
        <v>75</v>
      </c>
      <c r="K369" s="29">
        <v>46204</v>
      </c>
      <c r="L369" s="6">
        <v>46234</v>
      </c>
      <c r="M369" s="6" t="s">
        <v>82</v>
      </c>
      <c r="N369" s="47"/>
      <c r="O369" s="47"/>
    </row>
    <row r="370" spans="1:15">
      <c r="A370">
        <v>13828</v>
      </c>
      <c r="B370">
        <v>904</v>
      </c>
      <c r="C370" s="64">
        <v>7793344904150</v>
      </c>
      <c r="D370" t="s">
        <v>320</v>
      </c>
      <c r="E370" s="47">
        <v>3623.75</v>
      </c>
      <c r="F370" s="47">
        <v>2899</v>
      </c>
      <c r="G370" s="54">
        <v>-724.75</v>
      </c>
      <c r="H370" s="62">
        <v>0.2</v>
      </c>
      <c r="I370" t="s">
        <v>113</v>
      </c>
      <c r="J370" t="s">
        <v>75</v>
      </c>
      <c r="K370" s="63">
        <v>46204</v>
      </c>
      <c r="L370" s="63">
        <v>46234</v>
      </c>
      <c r="M370" t="s">
        <v>139</v>
      </c>
    </row>
    <row r="371" spans="1:15">
      <c r="A371">
        <v>665981</v>
      </c>
      <c r="B371">
        <v>1346</v>
      </c>
      <c r="C371" s="64">
        <v>7896053410223</v>
      </c>
      <c r="D371" t="s">
        <v>321</v>
      </c>
      <c r="E371" s="47">
        <v>8748.75</v>
      </c>
      <c r="F371" s="47">
        <v>6999</v>
      </c>
      <c r="G371" s="54">
        <v>-1749.75</v>
      </c>
      <c r="H371" s="62">
        <v>0.2</v>
      </c>
      <c r="I371" t="s">
        <v>113</v>
      </c>
      <c r="J371" t="s">
        <v>75</v>
      </c>
      <c r="K371" s="63">
        <v>46204</v>
      </c>
      <c r="L371" s="63">
        <v>46234</v>
      </c>
      <c r="M371" t="s">
        <v>139</v>
      </c>
    </row>
    <row r="372" spans="1:15">
      <c r="A372" s="3">
        <v>19463</v>
      </c>
      <c r="B372" s="4">
        <v>6091</v>
      </c>
      <c r="C372" s="2" t="s">
        <v>158</v>
      </c>
      <c r="D372" s="1" t="s">
        <v>37</v>
      </c>
      <c r="E372" s="32">
        <v>2899.99</v>
      </c>
      <c r="F372" s="33">
        <v>2551.9911999999999</v>
      </c>
      <c r="G372" s="31">
        <v>-347.99879999999985</v>
      </c>
      <c r="H372" s="28">
        <v>0.12</v>
      </c>
      <c r="I372" s="3" t="s">
        <v>18</v>
      </c>
      <c r="J372" s="3" t="s">
        <v>116</v>
      </c>
      <c r="K372" s="29">
        <v>46204</v>
      </c>
      <c r="L372" s="6">
        <v>46234</v>
      </c>
      <c r="M372" s="6" t="s">
        <v>22</v>
      </c>
      <c r="N372" s="47"/>
      <c r="O372" s="47"/>
    </row>
    <row r="373" spans="1:15">
      <c r="A373" s="23">
        <v>659015</v>
      </c>
      <c r="B373" s="23">
        <v>12608</v>
      </c>
      <c r="C373" s="22">
        <v>7790580126087</v>
      </c>
      <c r="D373" s="5" t="s">
        <v>125</v>
      </c>
      <c r="E373" s="24">
        <v>5940</v>
      </c>
      <c r="F373" s="26">
        <v>5346</v>
      </c>
      <c r="G373" s="31">
        <v>-594</v>
      </c>
      <c r="H373" s="28">
        <v>0.1</v>
      </c>
      <c r="I373" s="3" t="s">
        <v>18</v>
      </c>
      <c r="J373" s="3" t="s">
        <v>23</v>
      </c>
      <c r="K373" s="29">
        <v>46204</v>
      </c>
      <c r="L373" s="6">
        <v>46234</v>
      </c>
      <c r="M373" s="6" t="s">
        <v>63</v>
      </c>
      <c r="N373" s="47"/>
      <c r="O373" s="47"/>
    </row>
    <row r="374" spans="1:15">
      <c r="A374" s="23">
        <v>659014</v>
      </c>
      <c r="B374" s="23">
        <v>12607</v>
      </c>
      <c r="C374" s="22">
        <v>7790580126070</v>
      </c>
      <c r="D374" s="5" t="s">
        <v>124</v>
      </c>
      <c r="E374" s="24">
        <v>5940</v>
      </c>
      <c r="F374" s="26">
        <v>5346</v>
      </c>
      <c r="G374" s="31">
        <v>-594</v>
      </c>
      <c r="H374" s="28">
        <v>0.1</v>
      </c>
      <c r="I374" s="3" t="s">
        <v>18</v>
      </c>
      <c r="J374" s="3" t="s">
        <v>23</v>
      </c>
      <c r="K374" s="29">
        <v>46204</v>
      </c>
      <c r="L374" s="6">
        <v>46234</v>
      </c>
      <c r="M374" s="6" t="s">
        <v>63</v>
      </c>
      <c r="N374" s="47"/>
      <c r="O374" s="47"/>
    </row>
    <row r="375" spans="1:15">
      <c r="A375" s="23">
        <v>664902</v>
      </c>
      <c r="B375" s="23">
        <v>13796</v>
      </c>
      <c r="C375" s="22">
        <v>7790580137960</v>
      </c>
      <c r="D375" s="5" t="s">
        <v>126</v>
      </c>
      <c r="E375" s="24">
        <v>6270</v>
      </c>
      <c r="F375" s="26">
        <v>5643</v>
      </c>
      <c r="G375" s="31">
        <v>-627</v>
      </c>
      <c r="H375" s="28">
        <v>0.1</v>
      </c>
      <c r="I375" s="3" t="s">
        <v>18</v>
      </c>
      <c r="J375" s="3" t="s">
        <v>23</v>
      </c>
      <c r="K375" s="29">
        <v>46204</v>
      </c>
      <c r="L375" s="6">
        <v>46234</v>
      </c>
      <c r="M375" s="6" t="s">
        <v>63</v>
      </c>
      <c r="N375" s="47"/>
      <c r="O375" s="47"/>
    </row>
    <row r="376" spans="1:15">
      <c r="A376" s="23">
        <v>659012</v>
      </c>
      <c r="B376" s="23">
        <v>12605</v>
      </c>
      <c r="C376" s="22">
        <v>7790580126056</v>
      </c>
      <c r="D376" s="5" t="s">
        <v>123</v>
      </c>
      <c r="E376" s="24">
        <v>6678</v>
      </c>
      <c r="F376" s="26">
        <v>6010.2</v>
      </c>
      <c r="G376" s="31">
        <v>-667.80000000000018</v>
      </c>
      <c r="H376" s="28">
        <v>0.1</v>
      </c>
      <c r="I376" s="3" t="s">
        <v>18</v>
      </c>
      <c r="J376" s="3" t="s">
        <v>23</v>
      </c>
      <c r="K376" s="29">
        <v>46204</v>
      </c>
      <c r="L376" s="6">
        <v>46234</v>
      </c>
      <c r="M376" s="6" t="s">
        <v>63</v>
      </c>
      <c r="N376" s="47"/>
      <c r="O376" s="47"/>
    </row>
    <row r="377" spans="1:15">
      <c r="A377" s="23">
        <v>659011</v>
      </c>
      <c r="B377" s="23">
        <v>12604</v>
      </c>
      <c r="C377" s="22">
        <v>7790580126049</v>
      </c>
      <c r="D377" s="5" t="s">
        <v>122</v>
      </c>
      <c r="E377" s="24">
        <v>6678</v>
      </c>
      <c r="F377" s="26">
        <v>6010.2</v>
      </c>
      <c r="G377" s="31">
        <v>-667.80000000000018</v>
      </c>
      <c r="H377" s="28">
        <v>0.1</v>
      </c>
      <c r="I377" s="3" t="s">
        <v>18</v>
      </c>
      <c r="J377" s="3" t="s">
        <v>23</v>
      </c>
      <c r="K377" s="29">
        <v>46204</v>
      </c>
      <c r="L377" s="6">
        <v>46234</v>
      </c>
      <c r="M377" s="6" t="s">
        <v>63</v>
      </c>
      <c r="N377" s="47"/>
      <c r="O377" s="47"/>
    </row>
    <row r="378" spans="1:15">
      <c r="A378" s="23">
        <v>664867</v>
      </c>
      <c r="B378" s="23">
        <v>13886</v>
      </c>
      <c r="C378" s="22">
        <v>7790580138868</v>
      </c>
      <c r="D378" s="5" t="s">
        <v>265</v>
      </c>
      <c r="E378" s="24">
        <v>1428.0409999999999</v>
      </c>
      <c r="F378" s="26">
        <v>1213.83485</v>
      </c>
      <c r="G378" s="31">
        <v>-214.20614999999998</v>
      </c>
      <c r="H378" s="28">
        <v>0.15</v>
      </c>
      <c r="I378" s="3" t="s">
        <v>18</v>
      </c>
      <c r="J378" s="3" t="s">
        <v>70</v>
      </c>
      <c r="K378" s="29">
        <v>46204</v>
      </c>
      <c r="L378" s="6">
        <v>46234</v>
      </c>
      <c r="M378" s="6" t="s">
        <v>63</v>
      </c>
      <c r="N378" s="47"/>
      <c r="O378" s="47"/>
    </row>
    <row r="379" spans="1:15">
      <c r="A379">
        <v>825</v>
      </c>
      <c r="B379">
        <v>5443</v>
      </c>
      <c r="C379" s="64">
        <v>7798156760062</v>
      </c>
      <c r="D379" t="s">
        <v>322</v>
      </c>
      <c r="E379" s="47">
        <v>987.5</v>
      </c>
      <c r="F379" s="47">
        <v>790</v>
      </c>
      <c r="G379" s="54">
        <v>-197.5</v>
      </c>
      <c r="H379" s="62">
        <v>0.2</v>
      </c>
      <c r="I379" t="s">
        <v>113</v>
      </c>
      <c r="J379" t="s">
        <v>75</v>
      </c>
      <c r="K379" s="63">
        <v>46204</v>
      </c>
      <c r="L379" s="63">
        <v>46234</v>
      </c>
      <c r="M379" t="s">
        <v>63</v>
      </c>
    </row>
    <row r="380" spans="1:15">
      <c r="A380" s="23">
        <v>5662</v>
      </c>
      <c r="B380" s="23">
        <v>14611</v>
      </c>
      <c r="C380" s="22">
        <v>7790580221904</v>
      </c>
      <c r="D380" s="5" t="s">
        <v>73</v>
      </c>
      <c r="E380" s="24">
        <v>1285</v>
      </c>
      <c r="F380" s="26">
        <v>1092.25</v>
      </c>
      <c r="G380" s="31">
        <v>-192.75</v>
      </c>
      <c r="H380" s="28">
        <v>0.15</v>
      </c>
      <c r="I380" s="3" t="s">
        <v>18</v>
      </c>
      <c r="J380" s="3" t="s">
        <v>70</v>
      </c>
      <c r="K380" s="29">
        <v>46204</v>
      </c>
      <c r="L380" s="6">
        <v>46234</v>
      </c>
      <c r="M380" s="6" t="s">
        <v>63</v>
      </c>
      <c r="N380" s="47"/>
      <c r="O380" s="47"/>
    </row>
    <row r="381" spans="1:15">
      <c r="A381">
        <v>13813</v>
      </c>
      <c r="B381">
        <v>927</v>
      </c>
      <c r="C381" s="64">
        <v>7793344904013</v>
      </c>
      <c r="D381" t="s">
        <v>323</v>
      </c>
      <c r="E381" s="47">
        <v>2623.75</v>
      </c>
      <c r="F381" s="47">
        <v>2099</v>
      </c>
      <c r="G381" s="54">
        <v>-524.75</v>
      </c>
      <c r="H381" s="62">
        <v>0.2</v>
      </c>
      <c r="I381" t="s">
        <v>113</v>
      </c>
      <c r="J381" t="s">
        <v>75</v>
      </c>
      <c r="K381" s="63">
        <v>46204</v>
      </c>
      <c r="L381" s="63">
        <v>46234</v>
      </c>
      <c r="M381" t="s">
        <v>139</v>
      </c>
    </row>
    <row r="382" spans="1:15">
      <c r="A382" s="23">
        <v>1353</v>
      </c>
      <c r="B382" s="23">
        <v>352</v>
      </c>
      <c r="C382" s="22">
        <v>7792900006956</v>
      </c>
      <c r="D382" s="5" t="s">
        <v>270</v>
      </c>
      <c r="E382" s="24">
        <v>1419.174</v>
      </c>
      <c r="F382" s="26">
        <v>1206.2979</v>
      </c>
      <c r="G382" s="31">
        <v>-212.87609999999995</v>
      </c>
      <c r="H382" s="28">
        <v>0.15</v>
      </c>
      <c r="I382" s="3" t="s">
        <v>18</v>
      </c>
      <c r="J382" s="3" t="s">
        <v>70</v>
      </c>
      <c r="K382" s="29">
        <v>46204</v>
      </c>
      <c r="L382" s="6">
        <v>46234</v>
      </c>
      <c r="M382" s="6" t="s">
        <v>63</v>
      </c>
      <c r="N382" s="47"/>
      <c r="O382" s="47"/>
    </row>
    <row r="383" spans="1:15">
      <c r="A383" s="23">
        <v>19825</v>
      </c>
      <c r="B383" s="23">
        <v>13315</v>
      </c>
      <c r="C383" s="22">
        <v>7790580956707</v>
      </c>
      <c r="D383" s="5" t="s">
        <v>264</v>
      </c>
      <c r="E383" s="24">
        <v>1418.162</v>
      </c>
      <c r="F383" s="26">
        <v>1205.4376999999999</v>
      </c>
      <c r="G383" s="31">
        <v>-212.72430000000008</v>
      </c>
      <c r="H383" s="28">
        <v>0.15</v>
      </c>
      <c r="I383" s="3" t="s">
        <v>18</v>
      </c>
      <c r="J383" s="3" t="s">
        <v>70</v>
      </c>
      <c r="K383" s="29">
        <v>46204</v>
      </c>
      <c r="L383" s="6">
        <v>46234</v>
      </c>
      <c r="M383" s="6" t="s">
        <v>63</v>
      </c>
      <c r="N383" s="47"/>
      <c r="O383" s="47"/>
    </row>
    <row r="384" spans="1:15">
      <c r="A384" s="3">
        <v>1225</v>
      </c>
      <c r="B384" s="3">
        <v>2782</v>
      </c>
      <c r="C384" s="2">
        <v>7790895647796</v>
      </c>
      <c r="D384" s="1" t="s">
        <v>670</v>
      </c>
      <c r="E384" s="32">
        <v>2200.0039999999999</v>
      </c>
      <c r="F384" s="102">
        <v>1499</v>
      </c>
      <c r="G384" s="33">
        <v>-701.00399999999991</v>
      </c>
      <c r="H384" s="28">
        <v>0.31859999999999999</v>
      </c>
      <c r="I384" s="3" t="s">
        <v>18</v>
      </c>
      <c r="J384" s="3" t="s">
        <v>671</v>
      </c>
      <c r="K384" s="29">
        <v>46205</v>
      </c>
      <c r="L384" s="6">
        <v>46234</v>
      </c>
      <c r="M384" s="6" t="s">
        <v>718</v>
      </c>
      <c r="N384" s="47"/>
      <c r="O384" s="47"/>
    </row>
    <row r="385" spans="1:15">
      <c r="A385" s="23">
        <v>12501</v>
      </c>
      <c r="B385" s="23">
        <v>159</v>
      </c>
      <c r="C385" s="22">
        <v>7792900093246</v>
      </c>
      <c r="D385" s="5" t="s">
        <v>267</v>
      </c>
      <c r="E385" s="24">
        <v>1759.001</v>
      </c>
      <c r="F385" s="26">
        <v>1495.15085</v>
      </c>
      <c r="G385" s="31">
        <v>-263.85014999999999</v>
      </c>
      <c r="H385" s="28">
        <v>0.15</v>
      </c>
      <c r="I385" s="3" t="s">
        <v>18</v>
      </c>
      <c r="J385" s="3" t="s">
        <v>70</v>
      </c>
      <c r="K385" s="29">
        <v>46204</v>
      </c>
      <c r="L385" s="6">
        <v>46234</v>
      </c>
      <c r="M385" s="6" t="s">
        <v>63</v>
      </c>
      <c r="N385" s="47"/>
      <c r="O385" s="47"/>
    </row>
    <row r="386" spans="1:15">
      <c r="A386" s="23">
        <v>11028</v>
      </c>
      <c r="B386" s="23">
        <v>156</v>
      </c>
      <c r="C386" s="22">
        <v>7792900093024</v>
      </c>
      <c r="D386" s="5" t="s">
        <v>266</v>
      </c>
      <c r="E386" s="24">
        <v>1326.5820000000001</v>
      </c>
      <c r="F386" s="26">
        <v>1127.5947000000001</v>
      </c>
      <c r="G386" s="31">
        <v>-198.9873</v>
      </c>
      <c r="H386" s="28">
        <v>0.15</v>
      </c>
      <c r="I386" s="3" t="s">
        <v>18</v>
      </c>
      <c r="J386" s="3" t="s">
        <v>70</v>
      </c>
      <c r="K386" s="29">
        <v>46204</v>
      </c>
      <c r="L386" s="6">
        <v>46234</v>
      </c>
      <c r="M386" s="6" t="s">
        <v>63</v>
      </c>
      <c r="N386" s="48"/>
      <c r="O386" s="48"/>
    </row>
    <row r="387" spans="1:15">
      <c r="A387" s="23">
        <v>11030</v>
      </c>
      <c r="B387" s="23">
        <v>158</v>
      </c>
      <c r="C387" s="22">
        <v>7792900093260</v>
      </c>
      <c r="D387" s="5" t="s">
        <v>268</v>
      </c>
      <c r="E387" s="24">
        <v>3920.3069999999998</v>
      </c>
      <c r="F387" s="26">
        <v>3332.2609499999999</v>
      </c>
      <c r="G387" s="31">
        <v>-588.04604999999992</v>
      </c>
      <c r="H387" s="28">
        <v>0.15</v>
      </c>
      <c r="I387" s="3" t="s">
        <v>18</v>
      </c>
      <c r="J387" s="3" t="s">
        <v>70</v>
      </c>
      <c r="K387" s="29">
        <v>46204</v>
      </c>
      <c r="L387" s="6">
        <v>46234</v>
      </c>
      <c r="M387" s="6" t="s">
        <v>63</v>
      </c>
      <c r="N387" s="47"/>
      <c r="O387" s="47"/>
    </row>
    <row r="388" spans="1:15">
      <c r="A388" s="23">
        <v>11159</v>
      </c>
      <c r="B388" s="23">
        <v>2091</v>
      </c>
      <c r="C388" s="22">
        <v>7792900093000</v>
      </c>
      <c r="D388" s="5" t="s">
        <v>269</v>
      </c>
      <c r="E388" s="24">
        <v>2500.8989999999999</v>
      </c>
      <c r="F388" s="26">
        <v>2125.76415</v>
      </c>
      <c r="G388" s="31">
        <v>-375.13484999999991</v>
      </c>
      <c r="H388" s="28">
        <v>0.15</v>
      </c>
      <c r="I388" s="3" t="s">
        <v>18</v>
      </c>
      <c r="J388" s="3" t="s">
        <v>70</v>
      </c>
      <c r="K388" s="29">
        <v>46204</v>
      </c>
      <c r="L388" s="6">
        <v>46234</v>
      </c>
      <c r="M388" s="6" t="s">
        <v>63</v>
      </c>
      <c r="N388" s="47"/>
      <c r="O388" s="47"/>
    </row>
    <row r="389" spans="1:15">
      <c r="A389" s="87">
        <v>2688</v>
      </c>
      <c r="B389" s="88">
        <v>187</v>
      </c>
      <c r="C389" s="87">
        <v>7790415000810</v>
      </c>
      <c r="D389" s="88" t="s">
        <v>737</v>
      </c>
      <c r="E389" s="89">
        <v>13440</v>
      </c>
      <c r="F389" s="89">
        <v>12096</v>
      </c>
      <c r="G389" s="60">
        <v>1344</v>
      </c>
      <c r="H389" s="91">
        <v>0.1</v>
      </c>
      <c r="I389" s="86" t="s">
        <v>18</v>
      </c>
      <c r="J389" s="86" t="s">
        <v>23</v>
      </c>
      <c r="K389" s="137">
        <v>46178</v>
      </c>
      <c r="L389" s="137">
        <v>46234</v>
      </c>
      <c r="M389" s="68" t="s">
        <v>736</v>
      </c>
    </row>
    <row r="390" spans="1:15">
      <c r="A390" s="87">
        <v>14082</v>
      </c>
      <c r="B390" s="88">
        <v>1205</v>
      </c>
      <c r="C390" s="87">
        <v>7790415129887</v>
      </c>
      <c r="D390" s="88" t="s">
        <v>738</v>
      </c>
      <c r="E390" s="89">
        <v>44100</v>
      </c>
      <c r="F390" s="89">
        <v>39690</v>
      </c>
      <c r="G390" s="60">
        <v>4410</v>
      </c>
      <c r="H390" s="91">
        <v>0.1</v>
      </c>
      <c r="I390" s="86" t="s">
        <v>18</v>
      </c>
      <c r="J390" s="86" t="s">
        <v>23</v>
      </c>
      <c r="K390" s="137">
        <v>46178</v>
      </c>
      <c r="L390" s="137">
        <v>46234</v>
      </c>
      <c r="M390" s="68" t="s">
        <v>736</v>
      </c>
    </row>
    <row r="391" spans="1:15">
      <c r="A391" s="87">
        <v>665943</v>
      </c>
      <c r="B391" s="88">
        <v>943</v>
      </c>
      <c r="C391" s="87">
        <v>7798152260429</v>
      </c>
      <c r="D391" s="88" t="s">
        <v>977</v>
      </c>
      <c r="E391" s="89">
        <v>13790.37</v>
      </c>
      <c r="F391" s="89">
        <v>11721.8145</v>
      </c>
      <c r="G391" s="60">
        <v>2068.5555000000004</v>
      </c>
      <c r="H391" s="91">
        <v>0.15</v>
      </c>
      <c r="I391" s="86" t="s">
        <v>18</v>
      </c>
      <c r="J391" s="86" t="s">
        <v>70</v>
      </c>
      <c r="K391" s="137">
        <v>46178</v>
      </c>
      <c r="L391" s="137">
        <v>46234</v>
      </c>
      <c r="M391" s="68" t="s">
        <v>736</v>
      </c>
    </row>
    <row r="392" spans="1:15">
      <c r="A392" s="87">
        <v>662319</v>
      </c>
      <c r="B392" s="88">
        <v>319</v>
      </c>
      <c r="C392" s="87">
        <v>7798152260191</v>
      </c>
      <c r="D392" s="88" t="s">
        <v>978</v>
      </c>
      <c r="E392" s="89">
        <v>13790.37</v>
      </c>
      <c r="F392" s="89">
        <v>11721.8145</v>
      </c>
      <c r="G392" s="60">
        <v>2068.5555000000004</v>
      </c>
      <c r="H392" s="91">
        <v>0.15</v>
      </c>
      <c r="I392" s="86" t="s">
        <v>18</v>
      </c>
      <c r="J392" s="86" t="s">
        <v>70</v>
      </c>
      <c r="K392" s="137">
        <v>46178</v>
      </c>
      <c r="L392" s="137">
        <v>46234</v>
      </c>
      <c r="M392" s="68" t="s">
        <v>736</v>
      </c>
    </row>
    <row r="393" spans="1:15">
      <c r="A393" s="87">
        <v>662318</v>
      </c>
      <c r="B393" s="88">
        <v>318</v>
      </c>
      <c r="C393" s="87">
        <v>7798152260177</v>
      </c>
      <c r="D393" s="88" t="s">
        <v>979</v>
      </c>
      <c r="E393" s="89">
        <v>13790.37</v>
      </c>
      <c r="F393" s="89">
        <v>11721.8145</v>
      </c>
      <c r="G393" s="60">
        <v>2068.5555000000004</v>
      </c>
      <c r="H393" s="91">
        <v>0.15</v>
      </c>
      <c r="I393" s="86" t="s">
        <v>18</v>
      </c>
      <c r="J393" s="86" t="s">
        <v>70</v>
      </c>
      <c r="K393" s="137">
        <v>46178</v>
      </c>
      <c r="L393" s="137">
        <v>46234</v>
      </c>
      <c r="M393" s="68" t="s">
        <v>736</v>
      </c>
    </row>
    <row r="394" spans="1:15">
      <c r="A394" s="87">
        <v>665948</v>
      </c>
      <c r="B394" s="88">
        <v>948</v>
      </c>
      <c r="C394" s="87">
        <v>7798152262126</v>
      </c>
      <c r="D394" s="88" t="s">
        <v>980</v>
      </c>
      <c r="E394" s="89">
        <v>20527.650000000001</v>
      </c>
      <c r="F394" s="89">
        <v>17448.502500000002</v>
      </c>
      <c r="G394" s="60">
        <v>3079.1474999999991</v>
      </c>
      <c r="H394" s="91">
        <v>0.15</v>
      </c>
      <c r="I394" s="86" t="s">
        <v>18</v>
      </c>
      <c r="J394" s="86" t="s">
        <v>70</v>
      </c>
      <c r="K394" s="137">
        <v>46178</v>
      </c>
      <c r="L394" s="137">
        <v>46234</v>
      </c>
      <c r="M394" s="68" t="s">
        <v>736</v>
      </c>
    </row>
    <row r="395" spans="1:15">
      <c r="A395" s="87">
        <v>662320</v>
      </c>
      <c r="B395" s="88">
        <v>320</v>
      </c>
      <c r="C395" s="87">
        <v>7798152261969</v>
      </c>
      <c r="D395" s="88" t="s">
        <v>981</v>
      </c>
      <c r="E395" s="89">
        <v>20527.650000000001</v>
      </c>
      <c r="F395" s="89">
        <v>17448.502500000002</v>
      </c>
      <c r="G395" s="60">
        <v>3079.1474999999991</v>
      </c>
      <c r="H395" s="91">
        <v>0.15</v>
      </c>
      <c r="I395" s="86" t="s">
        <v>18</v>
      </c>
      <c r="J395" s="86" t="s">
        <v>70</v>
      </c>
      <c r="K395" s="137">
        <v>46178</v>
      </c>
      <c r="L395" s="137">
        <v>46234</v>
      </c>
      <c r="M395" s="68" t="s">
        <v>736</v>
      </c>
    </row>
    <row r="396" spans="1:15">
      <c r="A396" s="87">
        <v>660554</v>
      </c>
      <c r="B396" s="88">
        <v>52825</v>
      </c>
      <c r="C396" s="87">
        <v>7798159947156</v>
      </c>
      <c r="D396" s="88" t="s">
        <v>1017</v>
      </c>
      <c r="E396" s="89">
        <v>6719.991</v>
      </c>
      <c r="F396" s="89">
        <v>5375.9928</v>
      </c>
      <c r="G396" s="60">
        <v>1343.9982</v>
      </c>
      <c r="H396" s="91">
        <v>0.2</v>
      </c>
      <c r="I396" s="86" t="s">
        <v>18</v>
      </c>
      <c r="J396" s="86" t="s">
        <v>75</v>
      </c>
      <c r="K396" s="137">
        <v>46178</v>
      </c>
      <c r="L396" s="137">
        <v>46234</v>
      </c>
      <c r="M396" s="68" t="s">
        <v>736</v>
      </c>
    </row>
    <row r="397" spans="1:15">
      <c r="A397" s="87">
        <v>660553</v>
      </c>
      <c r="B397" s="88">
        <v>52839</v>
      </c>
      <c r="C397" s="87">
        <v>7798159947422</v>
      </c>
      <c r="D397" s="88" t="s">
        <v>1018</v>
      </c>
      <c r="E397" s="89">
        <v>6719.991</v>
      </c>
      <c r="F397" s="89">
        <v>5375.9928</v>
      </c>
      <c r="G397" s="60">
        <v>1343.9982</v>
      </c>
      <c r="H397" s="91">
        <v>0.2</v>
      </c>
      <c r="I397" s="86" t="s">
        <v>18</v>
      </c>
      <c r="J397" s="86" t="s">
        <v>75</v>
      </c>
      <c r="K397" s="137">
        <v>46178</v>
      </c>
      <c r="L397" s="137">
        <v>46234</v>
      </c>
      <c r="M397" s="68" t="s">
        <v>736</v>
      </c>
    </row>
    <row r="398" spans="1:15">
      <c r="A398" s="87">
        <v>660557</v>
      </c>
      <c r="B398" s="88">
        <v>20690</v>
      </c>
      <c r="C398" s="87">
        <v>7798159947361</v>
      </c>
      <c r="D398" s="88" t="s">
        <v>1019</v>
      </c>
      <c r="E398" s="89">
        <v>6192.5860000000002</v>
      </c>
      <c r="F398" s="89">
        <v>4954.0688000000009</v>
      </c>
      <c r="G398" s="60">
        <v>1238.5171999999993</v>
      </c>
      <c r="H398" s="91">
        <v>0.2</v>
      </c>
      <c r="I398" s="86" t="s">
        <v>18</v>
      </c>
      <c r="J398" s="86" t="s">
        <v>75</v>
      </c>
      <c r="K398" s="137">
        <v>46178</v>
      </c>
      <c r="L398" s="137">
        <v>46234</v>
      </c>
      <c r="M398" s="68" t="s">
        <v>736</v>
      </c>
    </row>
    <row r="399" spans="1:15">
      <c r="A399" s="87">
        <v>660556</v>
      </c>
      <c r="B399" s="88">
        <v>20701</v>
      </c>
      <c r="C399" s="87">
        <v>7798159947095</v>
      </c>
      <c r="D399" s="88" t="s">
        <v>1020</v>
      </c>
      <c r="E399" s="89">
        <v>6192.5860000000002</v>
      </c>
      <c r="F399" s="89">
        <v>4954.0688000000009</v>
      </c>
      <c r="G399" s="60">
        <v>1238.5171999999993</v>
      </c>
      <c r="H399" s="91">
        <v>0.2</v>
      </c>
      <c r="I399" s="86" t="s">
        <v>18</v>
      </c>
      <c r="J399" s="86" t="s">
        <v>75</v>
      </c>
      <c r="K399" s="137">
        <v>46178</v>
      </c>
      <c r="L399" s="137">
        <v>46234</v>
      </c>
      <c r="M399" s="68" t="s">
        <v>736</v>
      </c>
    </row>
    <row r="400" spans="1:15">
      <c r="A400" s="87">
        <v>660555</v>
      </c>
      <c r="B400" s="88">
        <v>20702</v>
      </c>
      <c r="C400" s="87">
        <v>7798159947071</v>
      </c>
      <c r="D400" s="88" t="s">
        <v>1021</v>
      </c>
      <c r="E400" s="89">
        <v>6192.5860000000002</v>
      </c>
      <c r="F400" s="89">
        <v>4954.0688000000009</v>
      </c>
      <c r="G400" s="60">
        <v>1238.5171999999993</v>
      </c>
      <c r="H400" s="91">
        <v>0.2</v>
      </c>
      <c r="I400" s="86" t="s">
        <v>18</v>
      </c>
      <c r="J400" s="86" t="s">
        <v>75</v>
      </c>
      <c r="K400" s="137">
        <v>46178</v>
      </c>
      <c r="L400" s="137">
        <v>46234</v>
      </c>
      <c r="M400" s="68" t="s">
        <v>736</v>
      </c>
    </row>
    <row r="401" spans="1:13">
      <c r="A401" s="87">
        <v>660552</v>
      </c>
      <c r="B401" s="88">
        <v>52385</v>
      </c>
      <c r="C401" s="87">
        <v>7798159947132</v>
      </c>
      <c r="D401" s="88" t="s">
        <v>1022</v>
      </c>
      <c r="E401" s="89">
        <v>15200</v>
      </c>
      <c r="F401" s="89">
        <v>12160</v>
      </c>
      <c r="G401" s="60">
        <v>3040</v>
      </c>
      <c r="H401" s="91">
        <v>0.2</v>
      </c>
      <c r="I401" s="86" t="s">
        <v>18</v>
      </c>
      <c r="J401" s="86" t="s">
        <v>75</v>
      </c>
      <c r="K401" s="137">
        <v>46178</v>
      </c>
      <c r="L401" s="137">
        <v>46234</v>
      </c>
      <c r="M401" s="68" t="s">
        <v>736</v>
      </c>
    </row>
    <row r="402" spans="1:13">
      <c r="A402" s="87">
        <v>660551</v>
      </c>
      <c r="B402" s="88">
        <v>52383</v>
      </c>
      <c r="C402" s="87">
        <v>7798159947194</v>
      </c>
      <c r="D402" s="88" t="s">
        <v>1023</v>
      </c>
      <c r="E402" s="89">
        <v>15200</v>
      </c>
      <c r="F402" s="89">
        <v>12160</v>
      </c>
      <c r="G402" s="60">
        <v>3040</v>
      </c>
      <c r="H402" s="91">
        <v>0.2</v>
      </c>
      <c r="I402" s="86" t="s">
        <v>18</v>
      </c>
      <c r="J402" s="86" t="s">
        <v>75</v>
      </c>
      <c r="K402" s="137">
        <v>46178</v>
      </c>
      <c r="L402" s="137">
        <v>46234</v>
      </c>
      <c r="M402" s="68" t="s">
        <v>736</v>
      </c>
    </row>
    <row r="403" spans="1:13">
      <c r="A403" s="144">
        <v>17401</v>
      </c>
      <c r="B403" s="138">
        <v>76049</v>
      </c>
      <c r="C403" s="144">
        <v>7798090852526</v>
      </c>
      <c r="D403" s="138" t="s">
        <v>739</v>
      </c>
      <c r="E403" s="142">
        <v>5000</v>
      </c>
      <c r="F403" s="142">
        <v>4500</v>
      </c>
      <c r="G403" s="143">
        <v>500</v>
      </c>
      <c r="H403" s="149">
        <v>0.1</v>
      </c>
      <c r="I403" s="147" t="s">
        <v>18</v>
      </c>
      <c r="J403" s="147" t="s">
        <v>23</v>
      </c>
      <c r="K403" s="148">
        <v>46206</v>
      </c>
      <c r="L403" s="148">
        <v>46234</v>
      </c>
      <c r="M403" s="68" t="s">
        <v>736</v>
      </c>
    </row>
    <row r="404" spans="1:13">
      <c r="A404" s="144">
        <v>17402</v>
      </c>
      <c r="B404" s="138">
        <v>76050</v>
      </c>
      <c r="C404" s="144">
        <v>7798090852533</v>
      </c>
      <c r="D404" s="138" t="s">
        <v>740</v>
      </c>
      <c r="E404" s="142">
        <v>5000</v>
      </c>
      <c r="F404" s="142">
        <v>4500</v>
      </c>
      <c r="G404" s="143">
        <v>500</v>
      </c>
      <c r="H404" s="149">
        <v>0.1</v>
      </c>
      <c r="I404" s="147" t="s">
        <v>18</v>
      </c>
      <c r="J404" s="147" t="s">
        <v>23</v>
      </c>
      <c r="K404" s="148">
        <v>46206</v>
      </c>
      <c r="L404" s="148">
        <v>46234</v>
      </c>
      <c r="M404" s="68" t="s">
        <v>736</v>
      </c>
    </row>
    <row r="405" spans="1:13">
      <c r="A405" s="144">
        <v>17400</v>
      </c>
      <c r="B405" s="138">
        <v>76048</v>
      </c>
      <c r="C405" s="144">
        <v>7798090852519</v>
      </c>
      <c r="D405" s="138" t="s">
        <v>741</v>
      </c>
      <c r="E405" s="142">
        <v>5000</v>
      </c>
      <c r="F405" s="142">
        <v>4500</v>
      </c>
      <c r="G405" s="143">
        <v>500</v>
      </c>
      <c r="H405" s="149">
        <v>0.1</v>
      </c>
      <c r="I405" s="147" t="s">
        <v>18</v>
      </c>
      <c r="J405" s="147" t="s">
        <v>23</v>
      </c>
      <c r="K405" s="148">
        <v>46206</v>
      </c>
      <c r="L405" s="148">
        <v>46234</v>
      </c>
      <c r="M405" s="68" t="s">
        <v>736</v>
      </c>
    </row>
    <row r="406" spans="1:13">
      <c r="A406" s="87">
        <v>660858</v>
      </c>
      <c r="B406" s="88">
        <v>692</v>
      </c>
      <c r="C406" s="87">
        <v>7798123970692</v>
      </c>
      <c r="D406" s="88" t="s">
        <v>1210</v>
      </c>
      <c r="E406" s="89">
        <v>16530.75</v>
      </c>
      <c r="F406" s="89">
        <v>12398.0625</v>
      </c>
      <c r="G406" s="60">
        <v>4132.6875</v>
      </c>
      <c r="H406" s="91">
        <v>0.25</v>
      </c>
      <c r="I406" s="86" t="s">
        <v>18</v>
      </c>
      <c r="J406" s="86" t="s">
        <v>24</v>
      </c>
      <c r="K406" s="137">
        <v>46178</v>
      </c>
      <c r="L406" s="137">
        <v>46234</v>
      </c>
      <c r="M406" s="68" t="s">
        <v>736</v>
      </c>
    </row>
    <row r="407" spans="1:13">
      <c r="A407" s="87">
        <v>663047</v>
      </c>
      <c r="B407" s="88">
        <v>2207</v>
      </c>
      <c r="C407" s="87">
        <v>7798123972207</v>
      </c>
      <c r="D407" s="88" t="s">
        <v>1211</v>
      </c>
      <c r="E407" s="89">
        <v>16530.75</v>
      </c>
      <c r="F407" s="89">
        <v>12398.0625</v>
      </c>
      <c r="G407" s="60">
        <v>4132.6875</v>
      </c>
      <c r="H407" s="91">
        <v>0.25</v>
      </c>
      <c r="I407" s="86" t="s">
        <v>18</v>
      </c>
      <c r="J407" s="86" t="s">
        <v>24</v>
      </c>
      <c r="K407" s="137">
        <v>46178</v>
      </c>
      <c r="L407" s="137">
        <v>46234</v>
      </c>
      <c r="M407" s="68" t="s">
        <v>736</v>
      </c>
    </row>
    <row r="408" spans="1:13">
      <c r="A408" s="87">
        <v>662740</v>
      </c>
      <c r="B408" s="88">
        <v>1194</v>
      </c>
      <c r="C408" s="87">
        <v>7798123972887</v>
      </c>
      <c r="D408" s="88" t="s">
        <v>1212</v>
      </c>
      <c r="E408" s="89">
        <v>70436.52</v>
      </c>
      <c r="F408" s="89">
        <v>52827.39</v>
      </c>
      <c r="G408" s="60">
        <v>17609.130000000005</v>
      </c>
      <c r="H408" s="91">
        <v>0.25</v>
      </c>
      <c r="I408" s="86" t="s">
        <v>18</v>
      </c>
      <c r="J408" s="86" t="s">
        <v>24</v>
      </c>
      <c r="K408" s="137">
        <v>46178</v>
      </c>
      <c r="L408" s="137">
        <v>46234</v>
      </c>
      <c r="M408" s="68" t="s">
        <v>736</v>
      </c>
    </row>
    <row r="409" spans="1:13">
      <c r="A409" s="87">
        <v>663171</v>
      </c>
      <c r="B409" s="88">
        <v>100105262</v>
      </c>
      <c r="C409" s="87">
        <v>7791728004496</v>
      </c>
      <c r="D409" s="88" t="s">
        <v>982</v>
      </c>
      <c r="E409" s="89">
        <v>9044.9979999999996</v>
      </c>
      <c r="F409" s="89">
        <v>7688.2482999999993</v>
      </c>
      <c r="G409" s="60">
        <v>1356.7497000000003</v>
      </c>
      <c r="H409" s="91">
        <v>0.15</v>
      </c>
      <c r="I409" s="86" t="s">
        <v>18</v>
      </c>
      <c r="J409" s="86" t="s">
        <v>70</v>
      </c>
      <c r="K409" s="137">
        <v>46178</v>
      </c>
      <c r="L409" s="137">
        <v>46234</v>
      </c>
      <c r="M409" s="68" t="s">
        <v>736</v>
      </c>
    </row>
    <row r="410" spans="1:13">
      <c r="A410" s="87">
        <v>662573</v>
      </c>
      <c r="B410" s="88">
        <v>100168009</v>
      </c>
      <c r="C410" s="87">
        <v>7791728238952</v>
      </c>
      <c r="D410" s="88" t="s">
        <v>983</v>
      </c>
      <c r="E410" s="89">
        <v>9044.9979999999996</v>
      </c>
      <c r="F410" s="89">
        <v>7688.2482999999993</v>
      </c>
      <c r="G410" s="60">
        <v>1356.7497000000003</v>
      </c>
      <c r="H410" s="91">
        <v>0.15</v>
      </c>
      <c r="I410" s="86" t="s">
        <v>18</v>
      </c>
      <c r="J410" s="86" t="s">
        <v>70</v>
      </c>
      <c r="K410" s="137">
        <v>46178</v>
      </c>
      <c r="L410" s="137">
        <v>46234</v>
      </c>
      <c r="M410" s="68" t="s">
        <v>736</v>
      </c>
    </row>
    <row r="411" spans="1:13">
      <c r="A411" s="87">
        <v>19878</v>
      </c>
      <c r="B411" s="88">
        <v>100105265</v>
      </c>
      <c r="C411" s="87">
        <v>7791728002720</v>
      </c>
      <c r="D411" s="88" t="s">
        <v>984</v>
      </c>
      <c r="E411" s="89">
        <v>9044.9979999999996</v>
      </c>
      <c r="F411" s="89">
        <v>7688.2482999999993</v>
      </c>
      <c r="G411" s="60">
        <v>1356.7497000000003</v>
      </c>
      <c r="H411" s="91">
        <v>0.15</v>
      </c>
      <c r="I411" s="86" t="s">
        <v>18</v>
      </c>
      <c r="J411" s="86" t="s">
        <v>70</v>
      </c>
      <c r="K411" s="137">
        <v>46178</v>
      </c>
      <c r="L411" s="137">
        <v>46234</v>
      </c>
      <c r="M411" s="68" t="s">
        <v>736</v>
      </c>
    </row>
    <row r="412" spans="1:13">
      <c r="A412" s="87">
        <v>663172</v>
      </c>
      <c r="B412" s="88">
        <v>100105267</v>
      </c>
      <c r="C412" s="87">
        <v>7791728004366</v>
      </c>
      <c r="D412" s="88" t="s">
        <v>985</v>
      </c>
      <c r="E412" s="89">
        <v>9044.9979999999996</v>
      </c>
      <c r="F412" s="89">
        <v>7688.2482999999993</v>
      </c>
      <c r="G412" s="60">
        <v>1356.7497000000003</v>
      </c>
      <c r="H412" s="91">
        <v>0.15</v>
      </c>
      <c r="I412" s="86" t="s">
        <v>18</v>
      </c>
      <c r="J412" s="86" t="s">
        <v>70</v>
      </c>
      <c r="K412" s="137">
        <v>46178</v>
      </c>
      <c r="L412" s="137">
        <v>46234</v>
      </c>
      <c r="M412" s="68" t="s">
        <v>736</v>
      </c>
    </row>
    <row r="413" spans="1:13">
      <c r="A413" s="87">
        <v>663173</v>
      </c>
      <c r="B413" s="88">
        <v>100105276</v>
      </c>
      <c r="C413" s="87">
        <v>7791728006407</v>
      </c>
      <c r="D413" s="88" t="s">
        <v>986</v>
      </c>
      <c r="E413" s="89">
        <v>9044.9979999999996</v>
      </c>
      <c r="F413" s="89">
        <v>7688.2482999999993</v>
      </c>
      <c r="G413" s="60">
        <v>1356.7497000000003</v>
      </c>
      <c r="H413" s="91">
        <v>0.15</v>
      </c>
      <c r="I413" s="86" t="s">
        <v>18</v>
      </c>
      <c r="J413" s="86" t="s">
        <v>70</v>
      </c>
      <c r="K413" s="137">
        <v>46178</v>
      </c>
      <c r="L413" s="137">
        <v>46234</v>
      </c>
      <c r="M413" s="68" t="s">
        <v>736</v>
      </c>
    </row>
    <row r="414" spans="1:13">
      <c r="A414" s="87">
        <v>659891</v>
      </c>
      <c r="B414" s="88" t="s">
        <v>742</v>
      </c>
      <c r="C414" s="87">
        <v>7794450943217</v>
      </c>
      <c r="D414" s="88" t="s">
        <v>743</v>
      </c>
      <c r="E414" s="89">
        <v>9827.9889999999996</v>
      </c>
      <c r="F414" s="89">
        <v>8845.1900999999998</v>
      </c>
      <c r="G414" s="60">
        <v>982.79889999999978</v>
      </c>
      <c r="H414" s="91">
        <v>0.1</v>
      </c>
      <c r="I414" s="86" t="s">
        <v>18</v>
      </c>
      <c r="J414" s="86" t="s">
        <v>23</v>
      </c>
      <c r="K414" s="137">
        <v>46178</v>
      </c>
      <c r="L414" s="137">
        <v>46234</v>
      </c>
      <c r="M414" s="68" t="s">
        <v>736</v>
      </c>
    </row>
    <row r="415" spans="1:13">
      <c r="A415" s="87">
        <v>664053</v>
      </c>
      <c r="B415" s="88">
        <v>341</v>
      </c>
      <c r="C415" s="87">
        <v>7794450000804</v>
      </c>
      <c r="D415" s="88" t="s">
        <v>744</v>
      </c>
      <c r="E415" s="89">
        <v>9827.9889999999996</v>
      </c>
      <c r="F415" s="89">
        <v>8845.1900999999998</v>
      </c>
      <c r="G415" s="60">
        <v>982.79889999999978</v>
      </c>
      <c r="H415" s="91">
        <v>0.1</v>
      </c>
      <c r="I415" s="86" t="s">
        <v>18</v>
      </c>
      <c r="J415" s="86" t="s">
        <v>23</v>
      </c>
      <c r="K415" s="137">
        <v>46178</v>
      </c>
      <c r="L415" s="137">
        <v>46234</v>
      </c>
      <c r="M415" s="68" t="s">
        <v>736</v>
      </c>
    </row>
    <row r="416" spans="1:13">
      <c r="A416" s="87">
        <v>659892</v>
      </c>
      <c r="B416" s="88" t="s">
        <v>745</v>
      </c>
      <c r="C416" s="87">
        <v>7794450940209</v>
      </c>
      <c r="D416" s="88" t="s">
        <v>746</v>
      </c>
      <c r="E416" s="89">
        <v>9827.9889999999996</v>
      </c>
      <c r="F416" s="89">
        <v>8845.1900999999998</v>
      </c>
      <c r="G416" s="60">
        <v>982.79889999999978</v>
      </c>
      <c r="H416" s="91">
        <v>0.1</v>
      </c>
      <c r="I416" s="86" t="s">
        <v>18</v>
      </c>
      <c r="J416" s="86" t="s">
        <v>23</v>
      </c>
      <c r="K416" s="137">
        <v>46178</v>
      </c>
      <c r="L416" s="137">
        <v>46234</v>
      </c>
      <c r="M416" s="68" t="s">
        <v>736</v>
      </c>
    </row>
    <row r="417" spans="1:13">
      <c r="A417" s="87">
        <v>664054</v>
      </c>
      <c r="B417" s="88">
        <v>428</v>
      </c>
      <c r="C417" s="87">
        <v>7794450003607</v>
      </c>
      <c r="D417" s="88" t="s">
        <v>747</v>
      </c>
      <c r="E417" s="89">
        <v>9827.9889999999996</v>
      </c>
      <c r="F417" s="89">
        <v>8845.1900999999998</v>
      </c>
      <c r="G417" s="60">
        <v>982.79889999999978</v>
      </c>
      <c r="H417" s="91">
        <v>0.1</v>
      </c>
      <c r="I417" s="86" t="s">
        <v>18</v>
      </c>
      <c r="J417" s="86" t="s">
        <v>23</v>
      </c>
      <c r="K417" s="137">
        <v>46178</v>
      </c>
      <c r="L417" s="137">
        <v>46234</v>
      </c>
      <c r="M417" s="68" t="s">
        <v>736</v>
      </c>
    </row>
    <row r="418" spans="1:13">
      <c r="A418" s="87">
        <v>664051</v>
      </c>
      <c r="B418" s="88" t="s">
        <v>748</v>
      </c>
      <c r="C418" s="87">
        <v>6640511111112</v>
      </c>
      <c r="D418" s="88" t="s">
        <v>749</v>
      </c>
      <c r="E418" s="89">
        <v>10782.01</v>
      </c>
      <c r="F418" s="89">
        <v>9703.8090000000011</v>
      </c>
      <c r="G418" s="60">
        <v>1078.2009999999991</v>
      </c>
      <c r="H418" s="91">
        <v>0.1</v>
      </c>
      <c r="I418" s="86" t="s">
        <v>18</v>
      </c>
      <c r="J418" s="86" t="s">
        <v>23</v>
      </c>
      <c r="K418" s="137">
        <v>46178</v>
      </c>
      <c r="L418" s="137">
        <v>46234</v>
      </c>
      <c r="M418" s="68" t="s">
        <v>736</v>
      </c>
    </row>
    <row r="419" spans="1:13">
      <c r="A419" s="87">
        <v>13243</v>
      </c>
      <c r="B419" s="88">
        <v>74397</v>
      </c>
      <c r="C419" s="87">
        <v>7791540144547</v>
      </c>
      <c r="D419" s="88" t="s">
        <v>750</v>
      </c>
      <c r="E419" s="89">
        <v>5997.7049999999999</v>
      </c>
      <c r="F419" s="89">
        <v>5397.9345000000003</v>
      </c>
      <c r="G419" s="60">
        <v>599.77049999999963</v>
      </c>
      <c r="H419" s="91">
        <v>0.1</v>
      </c>
      <c r="I419" s="86" t="s">
        <v>18</v>
      </c>
      <c r="J419" s="86" t="s">
        <v>23</v>
      </c>
      <c r="K419" s="137">
        <v>46178</v>
      </c>
      <c r="L419" s="137">
        <v>46234</v>
      </c>
      <c r="M419" s="68" t="s">
        <v>736</v>
      </c>
    </row>
    <row r="420" spans="1:13">
      <c r="A420" s="87">
        <v>20054</v>
      </c>
      <c r="B420" s="88">
        <v>74609</v>
      </c>
      <c r="C420" s="87">
        <v>7791540148507</v>
      </c>
      <c r="D420" s="88" t="s">
        <v>751</v>
      </c>
      <c r="E420" s="89">
        <v>7090.8770000000004</v>
      </c>
      <c r="F420" s="89">
        <v>6381.7893000000004</v>
      </c>
      <c r="G420" s="60">
        <v>709.08770000000004</v>
      </c>
      <c r="H420" s="91">
        <v>0.1</v>
      </c>
      <c r="I420" s="86" t="s">
        <v>18</v>
      </c>
      <c r="J420" s="86" t="s">
        <v>23</v>
      </c>
      <c r="K420" s="137">
        <v>46178</v>
      </c>
      <c r="L420" s="137">
        <v>46234</v>
      </c>
      <c r="M420" s="68" t="s">
        <v>736</v>
      </c>
    </row>
    <row r="421" spans="1:13">
      <c r="A421" s="87">
        <v>661052</v>
      </c>
      <c r="B421" s="88">
        <v>74611</v>
      </c>
      <c r="C421" s="87">
        <v>7791540044090</v>
      </c>
      <c r="D421" s="88" t="s">
        <v>752</v>
      </c>
      <c r="E421" s="89">
        <v>7090.8770000000004</v>
      </c>
      <c r="F421" s="89">
        <v>6381.7893000000004</v>
      </c>
      <c r="G421" s="60">
        <v>709.08770000000004</v>
      </c>
      <c r="H421" s="91">
        <v>0.1</v>
      </c>
      <c r="I421" s="86" t="s">
        <v>18</v>
      </c>
      <c r="J421" s="86" t="s">
        <v>23</v>
      </c>
      <c r="K421" s="137">
        <v>46178</v>
      </c>
      <c r="L421" s="137">
        <v>46234</v>
      </c>
      <c r="M421" s="68" t="s">
        <v>736</v>
      </c>
    </row>
    <row r="422" spans="1:13">
      <c r="A422" s="87">
        <v>665503</v>
      </c>
      <c r="B422" s="88">
        <v>2028</v>
      </c>
      <c r="C422" s="87">
        <v>7798126080343</v>
      </c>
      <c r="D422" s="88" t="s">
        <v>753</v>
      </c>
      <c r="E422" s="89">
        <v>36539.919999999998</v>
      </c>
      <c r="F422" s="89">
        <v>32885.928</v>
      </c>
      <c r="G422" s="60">
        <v>3653.9919999999984</v>
      </c>
      <c r="H422" s="91">
        <v>0.1</v>
      </c>
      <c r="I422" s="86" t="s">
        <v>18</v>
      </c>
      <c r="J422" s="86" t="s">
        <v>23</v>
      </c>
      <c r="K422" s="137">
        <v>46178</v>
      </c>
      <c r="L422" s="137">
        <v>46234</v>
      </c>
      <c r="M422" s="68" t="s">
        <v>736</v>
      </c>
    </row>
    <row r="423" spans="1:13">
      <c r="A423" s="87">
        <v>660395</v>
      </c>
      <c r="B423" s="88">
        <v>0</v>
      </c>
      <c r="C423" s="87">
        <v>7794450004499</v>
      </c>
      <c r="D423" s="88" t="s">
        <v>754</v>
      </c>
      <c r="E423" s="89">
        <v>16143.23</v>
      </c>
      <c r="F423" s="89">
        <v>14528.906999999999</v>
      </c>
      <c r="G423" s="60">
        <v>1614.3230000000003</v>
      </c>
      <c r="H423" s="91">
        <v>0.1</v>
      </c>
      <c r="I423" s="86" t="s">
        <v>18</v>
      </c>
      <c r="J423" s="86" t="s">
        <v>23</v>
      </c>
      <c r="K423" s="137">
        <v>46178</v>
      </c>
      <c r="L423" s="137">
        <v>46234</v>
      </c>
      <c r="M423" s="68" t="s">
        <v>736</v>
      </c>
    </row>
    <row r="424" spans="1:13">
      <c r="A424" s="87">
        <v>660398</v>
      </c>
      <c r="B424" s="88">
        <v>0</v>
      </c>
      <c r="C424" s="87">
        <v>7794450004536</v>
      </c>
      <c r="D424" s="88" t="s">
        <v>755</v>
      </c>
      <c r="E424" s="89">
        <v>16143.23</v>
      </c>
      <c r="F424" s="89">
        <v>14528.906999999999</v>
      </c>
      <c r="G424" s="60">
        <v>1614.3230000000003</v>
      </c>
      <c r="H424" s="91">
        <v>0.1</v>
      </c>
      <c r="I424" s="86" t="s">
        <v>18</v>
      </c>
      <c r="J424" s="86" t="s">
        <v>23</v>
      </c>
      <c r="K424" s="137">
        <v>46178</v>
      </c>
      <c r="L424" s="137">
        <v>46234</v>
      </c>
      <c r="M424" s="68" t="s">
        <v>736</v>
      </c>
    </row>
    <row r="425" spans="1:13">
      <c r="A425" s="87">
        <v>660396</v>
      </c>
      <c r="B425" s="88">
        <v>0</v>
      </c>
      <c r="C425" s="87">
        <v>7794450004482</v>
      </c>
      <c r="D425" s="88" t="s">
        <v>756</v>
      </c>
      <c r="E425" s="89">
        <v>16143.23</v>
      </c>
      <c r="F425" s="89">
        <v>14528.906999999999</v>
      </c>
      <c r="G425" s="60">
        <v>1614.3230000000003</v>
      </c>
      <c r="H425" s="91">
        <v>0.1</v>
      </c>
      <c r="I425" s="86" t="s">
        <v>18</v>
      </c>
      <c r="J425" s="86" t="s">
        <v>23</v>
      </c>
      <c r="K425" s="137">
        <v>46178</v>
      </c>
      <c r="L425" s="137">
        <v>46234</v>
      </c>
      <c r="M425" s="68" t="s">
        <v>736</v>
      </c>
    </row>
    <row r="426" spans="1:13">
      <c r="A426" s="144">
        <v>664134</v>
      </c>
      <c r="B426" s="138" t="s">
        <v>1024</v>
      </c>
      <c r="C426" s="144">
        <v>7792319969569</v>
      </c>
      <c r="D426" s="138" t="s">
        <v>1025</v>
      </c>
      <c r="E426" s="142">
        <v>17483.189999999999</v>
      </c>
      <c r="F426" s="142">
        <v>13986.552</v>
      </c>
      <c r="G426" s="143">
        <v>3496.637999999999</v>
      </c>
      <c r="H426" s="149">
        <v>0.2</v>
      </c>
      <c r="I426" s="147" t="s">
        <v>18</v>
      </c>
      <c r="J426" s="147" t="s">
        <v>75</v>
      </c>
      <c r="K426" s="148">
        <v>46206</v>
      </c>
      <c r="L426" s="148">
        <v>46234</v>
      </c>
      <c r="M426" s="68" t="s">
        <v>736</v>
      </c>
    </row>
    <row r="427" spans="1:13">
      <c r="A427" s="144">
        <v>664133</v>
      </c>
      <c r="B427" s="138" t="s">
        <v>1026</v>
      </c>
      <c r="C427" s="144">
        <v>7792319969552</v>
      </c>
      <c r="D427" s="138" t="s">
        <v>1027</v>
      </c>
      <c r="E427" s="142">
        <v>17483.189999999999</v>
      </c>
      <c r="F427" s="142">
        <v>13986.552</v>
      </c>
      <c r="G427" s="143">
        <v>3496.637999999999</v>
      </c>
      <c r="H427" s="149">
        <v>0.2</v>
      </c>
      <c r="I427" s="147" t="s">
        <v>18</v>
      </c>
      <c r="J427" s="147" t="s">
        <v>75</v>
      </c>
      <c r="K427" s="148">
        <v>46206</v>
      </c>
      <c r="L427" s="148">
        <v>46234</v>
      </c>
      <c r="M427" s="68" t="s">
        <v>736</v>
      </c>
    </row>
    <row r="428" spans="1:13">
      <c r="A428" s="144">
        <v>664136</v>
      </c>
      <c r="B428" s="138" t="s">
        <v>1028</v>
      </c>
      <c r="C428" s="144">
        <v>7792319970367</v>
      </c>
      <c r="D428" s="138" t="s">
        <v>1029</v>
      </c>
      <c r="E428" s="142">
        <v>17483.189999999999</v>
      </c>
      <c r="F428" s="142">
        <v>13986.552</v>
      </c>
      <c r="G428" s="143">
        <v>3496.637999999999</v>
      </c>
      <c r="H428" s="149">
        <v>0.2</v>
      </c>
      <c r="I428" s="147" t="s">
        <v>18</v>
      </c>
      <c r="J428" s="147" t="s">
        <v>75</v>
      </c>
      <c r="K428" s="148">
        <v>46206</v>
      </c>
      <c r="L428" s="148">
        <v>46234</v>
      </c>
      <c r="M428" s="68" t="s">
        <v>736</v>
      </c>
    </row>
    <row r="429" spans="1:13">
      <c r="A429" s="87">
        <v>666471</v>
      </c>
      <c r="B429" s="88">
        <v>100199474</v>
      </c>
      <c r="C429" s="87">
        <v>7791728249187</v>
      </c>
      <c r="D429" s="88" t="s">
        <v>1030</v>
      </c>
      <c r="E429" s="89">
        <v>153000</v>
      </c>
      <c r="F429" s="89">
        <v>122400</v>
      </c>
      <c r="G429" s="60">
        <v>30600</v>
      </c>
      <c r="H429" s="91">
        <v>0.2</v>
      </c>
      <c r="I429" s="86" t="s">
        <v>18</v>
      </c>
      <c r="J429" s="86" t="s">
        <v>75</v>
      </c>
      <c r="K429" s="137">
        <v>46178</v>
      </c>
      <c r="L429" s="137">
        <v>46234</v>
      </c>
      <c r="M429" s="68" t="s">
        <v>736</v>
      </c>
    </row>
    <row r="430" spans="1:13">
      <c r="A430" s="87">
        <v>666472</v>
      </c>
      <c r="B430" s="88">
        <v>100190826</v>
      </c>
      <c r="C430" s="87">
        <v>7791728246780</v>
      </c>
      <c r="D430" s="88" t="s">
        <v>1031</v>
      </c>
      <c r="E430" s="89">
        <v>153000</v>
      </c>
      <c r="F430" s="89">
        <v>122400</v>
      </c>
      <c r="G430" s="60">
        <v>30600</v>
      </c>
      <c r="H430" s="91">
        <v>0.2</v>
      </c>
      <c r="I430" s="86" t="s">
        <v>18</v>
      </c>
      <c r="J430" s="86" t="s">
        <v>75</v>
      </c>
      <c r="K430" s="137">
        <v>46178</v>
      </c>
      <c r="L430" s="137">
        <v>46234</v>
      </c>
      <c r="M430" s="68" t="s">
        <v>736</v>
      </c>
    </row>
    <row r="431" spans="1:13">
      <c r="A431" s="87">
        <v>666470</v>
      </c>
      <c r="B431" s="88">
        <v>100190838</v>
      </c>
      <c r="C431" s="87">
        <v>7791728246407</v>
      </c>
      <c r="D431" s="88" t="s">
        <v>1032</v>
      </c>
      <c r="E431" s="89">
        <v>153000</v>
      </c>
      <c r="F431" s="89">
        <v>122400</v>
      </c>
      <c r="G431" s="60">
        <v>30600</v>
      </c>
      <c r="H431" s="91">
        <v>0.2</v>
      </c>
      <c r="I431" s="86" t="s">
        <v>18</v>
      </c>
      <c r="J431" s="86" t="s">
        <v>75</v>
      </c>
      <c r="K431" s="137">
        <v>46178</v>
      </c>
      <c r="L431" s="137">
        <v>46234</v>
      </c>
      <c r="M431" s="68" t="s">
        <v>736</v>
      </c>
    </row>
    <row r="432" spans="1:13">
      <c r="A432" s="87">
        <v>660100</v>
      </c>
      <c r="B432" s="88">
        <v>0</v>
      </c>
      <c r="C432" s="87">
        <v>7798126081708</v>
      </c>
      <c r="D432" s="88" t="s">
        <v>1033</v>
      </c>
      <c r="E432" s="89">
        <v>17198.96</v>
      </c>
      <c r="F432" s="89">
        <v>13759.168</v>
      </c>
      <c r="G432" s="60">
        <v>3439.7919999999995</v>
      </c>
      <c r="H432" s="91">
        <v>0.2</v>
      </c>
      <c r="I432" s="86" t="s">
        <v>18</v>
      </c>
      <c r="J432" s="86" t="s">
        <v>75</v>
      </c>
      <c r="K432" s="137">
        <v>46178</v>
      </c>
      <c r="L432" s="137">
        <v>46234</v>
      </c>
      <c r="M432" s="68" t="s">
        <v>736</v>
      </c>
    </row>
    <row r="433" spans="1:13">
      <c r="A433" s="87">
        <v>660101</v>
      </c>
      <c r="B433" s="88">
        <v>0</v>
      </c>
      <c r="C433" s="87">
        <v>7798126080787</v>
      </c>
      <c r="D433" s="88" t="s">
        <v>1034</v>
      </c>
      <c r="E433" s="89">
        <v>17103</v>
      </c>
      <c r="F433" s="89">
        <v>13682.400000000001</v>
      </c>
      <c r="G433" s="60">
        <v>3420.5999999999985</v>
      </c>
      <c r="H433" s="91">
        <v>0.2</v>
      </c>
      <c r="I433" s="86" t="s">
        <v>18</v>
      </c>
      <c r="J433" s="86" t="s">
        <v>75</v>
      </c>
      <c r="K433" s="137">
        <v>46178</v>
      </c>
      <c r="L433" s="137">
        <v>46234</v>
      </c>
      <c r="M433" s="68" t="s">
        <v>736</v>
      </c>
    </row>
    <row r="434" spans="1:13">
      <c r="A434" s="87">
        <v>665500</v>
      </c>
      <c r="B434" s="88">
        <v>2024</v>
      </c>
      <c r="C434" s="87">
        <v>7798126084976</v>
      </c>
      <c r="D434" s="88" t="s">
        <v>1035</v>
      </c>
      <c r="E434" s="89">
        <v>27900.18</v>
      </c>
      <c r="F434" s="89">
        <v>22320.144</v>
      </c>
      <c r="G434" s="60">
        <v>5580.0360000000001</v>
      </c>
      <c r="H434" s="91">
        <v>0.2</v>
      </c>
      <c r="I434" s="86" t="s">
        <v>18</v>
      </c>
      <c r="J434" s="86" t="s">
        <v>75</v>
      </c>
      <c r="K434" s="137">
        <v>46178</v>
      </c>
      <c r="L434" s="137">
        <v>46234</v>
      </c>
      <c r="M434" s="68" t="s">
        <v>736</v>
      </c>
    </row>
    <row r="435" spans="1:13">
      <c r="A435" s="87">
        <v>660099</v>
      </c>
      <c r="B435" s="88">
        <v>0</v>
      </c>
      <c r="C435" s="87">
        <v>7798126080459</v>
      </c>
      <c r="D435" s="88" t="s">
        <v>1036</v>
      </c>
      <c r="E435" s="89">
        <v>17676.45</v>
      </c>
      <c r="F435" s="89">
        <v>14141.160000000002</v>
      </c>
      <c r="G435" s="60">
        <v>3535.2899999999991</v>
      </c>
      <c r="H435" s="91">
        <v>0.2</v>
      </c>
      <c r="I435" s="86" t="s">
        <v>18</v>
      </c>
      <c r="J435" s="86" t="s">
        <v>75</v>
      </c>
      <c r="K435" s="137">
        <v>46178</v>
      </c>
      <c r="L435" s="137">
        <v>46234</v>
      </c>
      <c r="M435" s="68" t="s">
        <v>736</v>
      </c>
    </row>
    <row r="436" spans="1:13">
      <c r="A436" s="87">
        <v>665499</v>
      </c>
      <c r="B436" s="88">
        <v>2023</v>
      </c>
      <c r="C436" s="87">
        <v>7798126084983</v>
      </c>
      <c r="D436" s="88" t="s">
        <v>1037</v>
      </c>
      <c r="E436" s="89">
        <v>15577.96</v>
      </c>
      <c r="F436" s="89">
        <v>12462.368</v>
      </c>
      <c r="G436" s="60">
        <v>3115.5919999999987</v>
      </c>
      <c r="H436" s="91">
        <v>0.2</v>
      </c>
      <c r="I436" s="86" t="s">
        <v>18</v>
      </c>
      <c r="J436" s="86" t="s">
        <v>75</v>
      </c>
      <c r="K436" s="137">
        <v>46178</v>
      </c>
      <c r="L436" s="137">
        <v>46234</v>
      </c>
      <c r="M436" s="68" t="s">
        <v>736</v>
      </c>
    </row>
    <row r="437" spans="1:13">
      <c r="A437" s="87">
        <v>663382</v>
      </c>
      <c r="B437" s="88" t="s">
        <v>757</v>
      </c>
      <c r="C437" s="87">
        <v>7798113556776</v>
      </c>
      <c r="D437" s="88" t="s">
        <v>758</v>
      </c>
      <c r="E437" s="89">
        <v>8924.9989999999998</v>
      </c>
      <c r="F437" s="89">
        <v>8032.4991</v>
      </c>
      <c r="G437" s="60">
        <v>892.4998999999998</v>
      </c>
      <c r="H437" s="91">
        <v>0.1</v>
      </c>
      <c r="I437" s="86" t="s">
        <v>18</v>
      </c>
      <c r="J437" s="86" t="s">
        <v>23</v>
      </c>
      <c r="K437" s="137">
        <v>46178</v>
      </c>
      <c r="L437" s="137">
        <v>46234</v>
      </c>
      <c r="M437" s="68" t="s">
        <v>736</v>
      </c>
    </row>
    <row r="438" spans="1:13">
      <c r="A438" s="87">
        <v>660495</v>
      </c>
      <c r="B438" s="88" t="s">
        <v>759</v>
      </c>
      <c r="C438" s="87">
        <v>7798113555724</v>
      </c>
      <c r="D438" s="88" t="s">
        <v>760</v>
      </c>
      <c r="E438" s="89">
        <v>7950</v>
      </c>
      <c r="F438" s="89">
        <v>7155</v>
      </c>
      <c r="G438" s="60">
        <v>795</v>
      </c>
      <c r="H438" s="91">
        <v>0.1</v>
      </c>
      <c r="I438" s="86" t="s">
        <v>18</v>
      </c>
      <c r="J438" s="86" t="s">
        <v>23</v>
      </c>
      <c r="K438" s="137">
        <v>46178</v>
      </c>
      <c r="L438" s="137">
        <v>46234</v>
      </c>
      <c r="M438" s="68" t="s">
        <v>736</v>
      </c>
    </row>
    <row r="439" spans="1:13">
      <c r="A439" s="87">
        <v>663259</v>
      </c>
      <c r="B439" s="88">
        <v>0</v>
      </c>
      <c r="C439" s="87">
        <v>7790843000239</v>
      </c>
      <c r="D439" s="88" t="s">
        <v>1213</v>
      </c>
      <c r="E439" s="89">
        <v>13338.82</v>
      </c>
      <c r="F439" s="89">
        <v>10004.115</v>
      </c>
      <c r="G439" s="60">
        <v>3334.7049999999999</v>
      </c>
      <c r="H439" s="91">
        <v>0.25</v>
      </c>
      <c r="I439" s="86" t="s">
        <v>18</v>
      </c>
      <c r="J439" s="86" t="s">
        <v>24</v>
      </c>
      <c r="K439" s="137">
        <v>46178</v>
      </c>
      <c r="L439" s="137">
        <v>46234</v>
      </c>
      <c r="M439" s="68" t="s">
        <v>736</v>
      </c>
    </row>
    <row r="440" spans="1:13">
      <c r="A440" s="87">
        <v>662203</v>
      </c>
      <c r="B440" s="88" t="s">
        <v>1214</v>
      </c>
      <c r="C440" s="87">
        <v>7798121461031</v>
      </c>
      <c r="D440" s="88" t="s">
        <v>1215</v>
      </c>
      <c r="E440" s="89">
        <v>24976.21</v>
      </c>
      <c r="F440" s="89">
        <v>18732.157500000001</v>
      </c>
      <c r="G440" s="60">
        <v>6244.052499999998</v>
      </c>
      <c r="H440" s="91">
        <v>0.25</v>
      </c>
      <c r="I440" s="86" t="s">
        <v>18</v>
      </c>
      <c r="J440" s="86" t="s">
        <v>24</v>
      </c>
      <c r="K440" s="137">
        <v>46178</v>
      </c>
      <c r="L440" s="137">
        <v>46234</v>
      </c>
      <c r="M440" s="68" t="s">
        <v>736</v>
      </c>
    </row>
    <row r="441" spans="1:13">
      <c r="A441" s="144">
        <v>10843</v>
      </c>
      <c r="B441" s="138">
        <v>76055</v>
      </c>
      <c r="C441" s="144">
        <v>7793440702926</v>
      </c>
      <c r="D441" s="138" t="s">
        <v>761</v>
      </c>
      <c r="E441" s="142">
        <v>5000</v>
      </c>
      <c r="F441" s="142">
        <v>4500</v>
      </c>
      <c r="G441" s="143">
        <v>500</v>
      </c>
      <c r="H441" s="149">
        <v>0.1</v>
      </c>
      <c r="I441" s="147" t="s">
        <v>18</v>
      </c>
      <c r="J441" s="147" t="s">
        <v>23</v>
      </c>
      <c r="K441" s="148">
        <v>46206</v>
      </c>
      <c r="L441" s="148">
        <v>46234</v>
      </c>
      <c r="M441" s="68" t="s">
        <v>736</v>
      </c>
    </row>
    <row r="442" spans="1:13">
      <c r="A442" s="87">
        <v>660386</v>
      </c>
      <c r="B442" s="88">
        <v>0</v>
      </c>
      <c r="C442" s="87">
        <v>7794450092090</v>
      </c>
      <c r="D442" s="88" t="s">
        <v>1038</v>
      </c>
      <c r="E442" s="89">
        <v>66910.149999999994</v>
      </c>
      <c r="F442" s="89">
        <v>53528.119999999995</v>
      </c>
      <c r="G442" s="60">
        <v>13382.029999999999</v>
      </c>
      <c r="H442" s="91">
        <v>0.2</v>
      </c>
      <c r="I442" s="86" t="s">
        <v>18</v>
      </c>
      <c r="J442" s="86" t="s">
        <v>75</v>
      </c>
      <c r="K442" s="137">
        <v>46178</v>
      </c>
      <c r="L442" s="137">
        <v>46234</v>
      </c>
      <c r="M442" s="68" t="s">
        <v>736</v>
      </c>
    </row>
    <row r="443" spans="1:13">
      <c r="A443" s="87">
        <v>664271</v>
      </c>
      <c r="B443" s="88">
        <v>7790703204661</v>
      </c>
      <c r="C443" s="87">
        <v>7790703204654</v>
      </c>
      <c r="D443" s="88" t="s">
        <v>1216</v>
      </c>
      <c r="E443" s="89">
        <v>20937.509999999998</v>
      </c>
      <c r="F443" s="89">
        <v>15703.1325</v>
      </c>
      <c r="G443" s="60">
        <v>5234.3774999999987</v>
      </c>
      <c r="H443" s="91">
        <v>0.25</v>
      </c>
      <c r="I443" s="86" t="s">
        <v>18</v>
      </c>
      <c r="J443" s="86" t="s">
        <v>24</v>
      </c>
      <c r="K443" s="137">
        <v>46178</v>
      </c>
      <c r="L443" s="137">
        <v>46234</v>
      </c>
      <c r="M443" s="68" t="s">
        <v>736</v>
      </c>
    </row>
    <row r="444" spans="1:13">
      <c r="A444" s="87">
        <v>3935</v>
      </c>
      <c r="B444" s="88">
        <v>7790703205507</v>
      </c>
      <c r="C444" s="87">
        <v>7790703167331</v>
      </c>
      <c r="D444" s="88" t="s">
        <v>1217</v>
      </c>
      <c r="E444" s="89">
        <v>6790.09</v>
      </c>
      <c r="F444" s="89">
        <v>5092.5675000000001</v>
      </c>
      <c r="G444" s="60">
        <v>1697.5225</v>
      </c>
      <c r="H444" s="91">
        <v>0.25</v>
      </c>
      <c r="I444" s="86" t="s">
        <v>18</v>
      </c>
      <c r="J444" s="86" t="s">
        <v>24</v>
      </c>
      <c r="K444" s="137">
        <v>46178</v>
      </c>
      <c r="L444" s="137">
        <v>46234</v>
      </c>
      <c r="M444" s="68" t="s">
        <v>736</v>
      </c>
    </row>
    <row r="445" spans="1:13">
      <c r="A445" s="87">
        <v>664272</v>
      </c>
      <c r="B445" s="88">
        <v>7790703206047</v>
      </c>
      <c r="C445" s="87">
        <v>7790703206030</v>
      </c>
      <c r="D445" s="88" t="s">
        <v>1218</v>
      </c>
      <c r="E445" s="89">
        <v>20937.509999999998</v>
      </c>
      <c r="F445" s="89">
        <v>15703.1325</v>
      </c>
      <c r="G445" s="60">
        <v>5234.3774999999987</v>
      </c>
      <c r="H445" s="91">
        <v>0.25</v>
      </c>
      <c r="I445" s="86" t="s">
        <v>18</v>
      </c>
      <c r="J445" s="86" t="s">
        <v>24</v>
      </c>
      <c r="K445" s="137">
        <v>46178</v>
      </c>
      <c r="L445" s="137">
        <v>46234</v>
      </c>
      <c r="M445" s="68" t="s">
        <v>736</v>
      </c>
    </row>
    <row r="446" spans="1:13">
      <c r="A446" s="87">
        <v>659867</v>
      </c>
      <c r="B446" s="88">
        <v>44368</v>
      </c>
      <c r="C446" s="87">
        <v>7790189143508</v>
      </c>
      <c r="D446" s="88" t="s">
        <v>762</v>
      </c>
      <c r="E446" s="89">
        <v>13824.55</v>
      </c>
      <c r="F446" s="89">
        <v>12442.094999999999</v>
      </c>
      <c r="G446" s="60">
        <v>1382.4549999999999</v>
      </c>
      <c r="H446" s="91">
        <v>0.1</v>
      </c>
      <c r="I446" s="86" t="s">
        <v>18</v>
      </c>
      <c r="J446" s="86" t="s">
        <v>23</v>
      </c>
      <c r="K446" s="137">
        <v>46178</v>
      </c>
      <c r="L446" s="137">
        <v>46234</v>
      </c>
      <c r="M446" s="68" t="s">
        <v>736</v>
      </c>
    </row>
    <row r="447" spans="1:13">
      <c r="A447" s="87">
        <v>100999</v>
      </c>
      <c r="B447" s="88">
        <v>1956</v>
      </c>
      <c r="C447" s="87">
        <v>7794450004260</v>
      </c>
      <c r="D447" s="88" t="s">
        <v>763</v>
      </c>
      <c r="E447" s="89">
        <v>6524.9979999999996</v>
      </c>
      <c r="F447" s="89">
        <v>5872.4982</v>
      </c>
      <c r="G447" s="60">
        <v>652.4997999999996</v>
      </c>
      <c r="H447" s="91">
        <v>0.1</v>
      </c>
      <c r="I447" s="86" t="s">
        <v>18</v>
      </c>
      <c r="J447" s="86" t="s">
        <v>23</v>
      </c>
      <c r="K447" s="137">
        <v>46178</v>
      </c>
      <c r="L447" s="137">
        <v>46234</v>
      </c>
      <c r="M447" s="68" t="s">
        <v>736</v>
      </c>
    </row>
    <row r="448" spans="1:13">
      <c r="A448" s="87">
        <v>17463</v>
      </c>
      <c r="B448" s="88">
        <v>1955</v>
      </c>
      <c r="C448" s="87">
        <v>7794450004246</v>
      </c>
      <c r="D448" s="88" t="s">
        <v>764</v>
      </c>
      <c r="E448" s="89">
        <v>6524.9979999999996</v>
      </c>
      <c r="F448" s="89">
        <v>5872.4982</v>
      </c>
      <c r="G448" s="60">
        <v>652.4997999999996</v>
      </c>
      <c r="H448" s="91">
        <v>0.1</v>
      </c>
      <c r="I448" s="86" t="s">
        <v>18</v>
      </c>
      <c r="J448" s="86" t="s">
        <v>23</v>
      </c>
      <c r="K448" s="137">
        <v>46178</v>
      </c>
      <c r="L448" s="137">
        <v>46234</v>
      </c>
      <c r="M448" s="68" t="s">
        <v>736</v>
      </c>
    </row>
    <row r="449" spans="1:13">
      <c r="A449" s="144">
        <v>663283</v>
      </c>
      <c r="B449" s="138">
        <v>76044</v>
      </c>
      <c r="C449" s="144">
        <v>7790070777461</v>
      </c>
      <c r="D449" s="138" t="s">
        <v>1219</v>
      </c>
      <c r="E449" s="142">
        <v>31020.67</v>
      </c>
      <c r="F449" s="142">
        <v>23265.502499999999</v>
      </c>
      <c r="G449" s="143">
        <v>7755.1674999999996</v>
      </c>
      <c r="H449" s="149">
        <v>0.25</v>
      </c>
      <c r="I449" s="147" t="s">
        <v>18</v>
      </c>
      <c r="J449" s="147" t="s">
        <v>24</v>
      </c>
      <c r="K449" s="148">
        <v>46206</v>
      </c>
      <c r="L449" s="148">
        <v>46234</v>
      </c>
      <c r="M449" s="68" t="s">
        <v>736</v>
      </c>
    </row>
    <row r="450" spans="1:13">
      <c r="A450" s="144">
        <v>663284</v>
      </c>
      <c r="B450" s="138">
        <v>76045</v>
      </c>
      <c r="C450" s="144">
        <v>7790070778260</v>
      </c>
      <c r="D450" s="138" t="s">
        <v>1220</v>
      </c>
      <c r="E450" s="142">
        <v>31020.67</v>
      </c>
      <c r="F450" s="142">
        <v>23265.502499999999</v>
      </c>
      <c r="G450" s="143">
        <v>7755.1674999999996</v>
      </c>
      <c r="H450" s="149">
        <v>0.25</v>
      </c>
      <c r="I450" s="147" t="s">
        <v>18</v>
      </c>
      <c r="J450" s="147" t="s">
        <v>24</v>
      </c>
      <c r="K450" s="148">
        <v>46206</v>
      </c>
      <c r="L450" s="148">
        <v>46234</v>
      </c>
      <c r="M450" s="68" t="s">
        <v>736</v>
      </c>
    </row>
    <row r="451" spans="1:13">
      <c r="A451" s="87">
        <v>664085</v>
      </c>
      <c r="B451" s="88">
        <v>760449</v>
      </c>
      <c r="C451" s="87">
        <v>7790070760449</v>
      </c>
      <c r="D451" s="88" t="s">
        <v>1221</v>
      </c>
      <c r="E451" s="89">
        <v>29226.06</v>
      </c>
      <c r="F451" s="89">
        <v>21919.545000000002</v>
      </c>
      <c r="G451" s="60">
        <v>7306.5149999999994</v>
      </c>
      <c r="H451" s="91">
        <v>0.25</v>
      </c>
      <c r="I451" s="86" t="s">
        <v>18</v>
      </c>
      <c r="J451" s="86" t="s">
        <v>24</v>
      </c>
      <c r="K451" s="137">
        <v>46178</v>
      </c>
      <c r="L451" s="137">
        <v>46234</v>
      </c>
      <c r="M451" s="68" t="s">
        <v>736</v>
      </c>
    </row>
    <row r="452" spans="1:13">
      <c r="A452" s="87">
        <v>4511</v>
      </c>
      <c r="B452" s="88">
        <v>54547</v>
      </c>
      <c r="C452" s="87">
        <v>7790093675775</v>
      </c>
      <c r="D452" s="88" t="s">
        <v>1039</v>
      </c>
      <c r="E452" s="89">
        <v>5502.7470000000003</v>
      </c>
      <c r="F452" s="89">
        <v>4402.1976000000004</v>
      </c>
      <c r="G452" s="60">
        <v>1100.5493999999999</v>
      </c>
      <c r="H452" s="91">
        <v>0.2</v>
      </c>
      <c r="I452" s="86" t="s">
        <v>18</v>
      </c>
      <c r="J452" s="86" t="s">
        <v>75</v>
      </c>
      <c r="K452" s="137">
        <v>46178</v>
      </c>
      <c r="L452" s="137">
        <v>46234</v>
      </c>
      <c r="M452" s="68" t="s">
        <v>736</v>
      </c>
    </row>
    <row r="453" spans="1:13">
      <c r="A453" s="87">
        <v>3443</v>
      </c>
      <c r="B453" s="88">
        <v>54555</v>
      </c>
      <c r="C453" s="87">
        <v>7790093630743</v>
      </c>
      <c r="D453" s="88" t="s">
        <v>1040</v>
      </c>
      <c r="E453" s="89">
        <v>5502.7470000000003</v>
      </c>
      <c r="F453" s="89">
        <v>4402.1976000000004</v>
      </c>
      <c r="G453" s="60">
        <v>1100.5493999999999</v>
      </c>
      <c r="H453" s="91">
        <v>0.2</v>
      </c>
      <c r="I453" s="86" t="s">
        <v>18</v>
      </c>
      <c r="J453" s="86" t="s">
        <v>75</v>
      </c>
      <c r="K453" s="137">
        <v>46178</v>
      </c>
      <c r="L453" s="137">
        <v>46234</v>
      </c>
      <c r="M453" s="68" t="s">
        <v>736</v>
      </c>
    </row>
    <row r="454" spans="1:13">
      <c r="A454" s="87">
        <v>4464</v>
      </c>
      <c r="B454" s="88">
        <v>54548</v>
      </c>
      <c r="C454" s="87">
        <v>7790093675782</v>
      </c>
      <c r="D454" s="88" t="s">
        <v>1041</v>
      </c>
      <c r="E454" s="89">
        <v>5502.7470000000003</v>
      </c>
      <c r="F454" s="89">
        <v>4402.1976000000004</v>
      </c>
      <c r="G454" s="60">
        <v>1100.5493999999999</v>
      </c>
      <c r="H454" s="91">
        <v>0.2</v>
      </c>
      <c r="I454" s="86" t="s">
        <v>18</v>
      </c>
      <c r="J454" s="86" t="s">
        <v>75</v>
      </c>
      <c r="K454" s="137">
        <v>46178</v>
      </c>
      <c r="L454" s="137">
        <v>46234</v>
      </c>
      <c r="M454" s="68" t="s">
        <v>736</v>
      </c>
    </row>
    <row r="455" spans="1:13">
      <c r="A455" s="87">
        <v>10328</v>
      </c>
      <c r="B455" s="88">
        <v>10181</v>
      </c>
      <c r="C455" s="87">
        <v>7790093095238</v>
      </c>
      <c r="D455" s="88" t="s">
        <v>1042</v>
      </c>
      <c r="E455" s="89">
        <v>8827.5049999999992</v>
      </c>
      <c r="F455" s="89">
        <v>7062.0039999999999</v>
      </c>
      <c r="G455" s="60">
        <v>1765.5009999999993</v>
      </c>
      <c r="H455" s="91">
        <v>0.2</v>
      </c>
      <c r="I455" s="86" t="s">
        <v>18</v>
      </c>
      <c r="J455" s="86" t="s">
        <v>75</v>
      </c>
      <c r="K455" s="137">
        <v>46178</v>
      </c>
      <c r="L455" s="137">
        <v>46234</v>
      </c>
      <c r="M455" s="68" t="s">
        <v>736</v>
      </c>
    </row>
    <row r="456" spans="1:13">
      <c r="A456" s="87">
        <v>10305</v>
      </c>
      <c r="B456" s="88">
        <v>54549</v>
      </c>
      <c r="C456" s="87">
        <v>7790093695228</v>
      </c>
      <c r="D456" s="88" t="s">
        <v>1043</v>
      </c>
      <c r="E456" s="89">
        <v>8827.5049999999992</v>
      </c>
      <c r="F456" s="89">
        <v>7062.0039999999999</v>
      </c>
      <c r="G456" s="60">
        <v>1765.5009999999993</v>
      </c>
      <c r="H456" s="91">
        <v>0.2</v>
      </c>
      <c r="I456" s="86" t="s">
        <v>18</v>
      </c>
      <c r="J456" s="86" t="s">
        <v>75</v>
      </c>
      <c r="K456" s="137">
        <v>46178</v>
      </c>
      <c r="L456" s="137">
        <v>46234</v>
      </c>
      <c r="M456" s="68" t="s">
        <v>736</v>
      </c>
    </row>
    <row r="457" spans="1:13">
      <c r="A457" s="87">
        <v>664313</v>
      </c>
      <c r="B457" s="88">
        <v>10183</v>
      </c>
      <c r="C457" s="87">
        <v>7790093095245</v>
      </c>
      <c r="D457" s="88" t="s">
        <v>1044</v>
      </c>
      <c r="E457" s="89">
        <v>8827.5049999999992</v>
      </c>
      <c r="F457" s="89">
        <v>7062.0039999999999</v>
      </c>
      <c r="G457" s="60">
        <v>1765.5009999999993</v>
      </c>
      <c r="H457" s="91">
        <v>0.2</v>
      </c>
      <c r="I457" s="86" t="s">
        <v>18</v>
      </c>
      <c r="J457" s="86" t="s">
        <v>75</v>
      </c>
      <c r="K457" s="137">
        <v>46178</v>
      </c>
      <c r="L457" s="137">
        <v>46234</v>
      </c>
      <c r="M457" s="68" t="s">
        <v>736</v>
      </c>
    </row>
    <row r="458" spans="1:13">
      <c r="A458" s="87">
        <v>12461</v>
      </c>
      <c r="B458" s="88">
        <v>54546</v>
      </c>
      <c r="C458" s="87">
        <v>7790093621123</v>
      </c>
      <c r="D458" s="88" t="s">
        <v>1045</v>
      </c>
      <c r="E458" s="89">
        <v>5502.7470000000003</v>
      </c>
      <c r="F458" s="89">
        <v>4402.1976000000004</v>
      </c>
      <c r="G458" s="60">
        <v>1100.5493999999999</v>
      </c>
      <c r="H458" s="91">
        <v>0.2</v>
      </c>
      <c r="I458" s="86" t="s">
        <v>18</v>
      </c>
      <c r="J458" s="86" t="s">
        <v>75</v>
      </c>
      <c r="K458" s="137">
        <v>46178</v>
      </c>
      <c r="L458" s="137">
        <v>46234</v>
      </c>
      <c r="M458" s="68" t="s">
        <v>736</v>
      </c>
    </row>
    <row r="459" spans="1:13">
      <c r="A459" s="87">
        <v>664312</v>
      </c>
      <c r="B459" s="88">
        <v>54543</v>
      </c>
      <c r="C459" s="87">
        <v>7790093521768</v>
      </c>
      <c r="D459" s="88" t="s">
        <v>1046</v>
      </c>
      <c r="E459" s="89">
        <v>5502.7470000000003</v>
      </c>
      <c r="F459" s="89">
        <v>4402.1976000000004</v>
      </c>
      <c r="G459" s="60">
        <v>1100.5493999999999</v>
      </c>
      <c r="H459" s="91">
        <v>0.2</v>
      </c>
      <c r="I459" s="86" t="s">
        <v>18</v>
      </c>
      <c r="J459" s="86" t="s">
        <v>75</v>
      </c>
      <c r="K459" s="137">
        <v>46178</v>
      </c>
      <c r="L459" s="137">
        <v>46234</v>
      </c>
      <c r="M459" s="68" t="s">
        <v>736</v>
      </c>
    </row>
    <row r="460" spans="1:13">
      <c r="A460" s="87">
        <v>645</v>
      </c>
      <c r="B460" s="88" t="s">
        <v>1047</v>
      </c>
      <c r="C460" s="87">
        <v>7798108836241</v>
      </c>
      <c r="D460" s="88" t="s">
        <v>1048</v>
      </c>
      <c r="E460" s="89">
        <v>4396.4549999999999</v>
      </c>
      <c r="F460" s="89">
        <v>3517.1640000000002</v>
      </c>
      <c r="G460" s="60">
        <v>879.29099999999971</v>
      </c>
      <c r="H460" s="91">
        <v>0.2</v>
      </c>
      <c r="I460" s="86" t="s">
        <v>18</v>
      </c>
      <c r="J460" s="86" t="s">
        <v>75</v>
      </c>
      <c r="K460" s="137">
        <v>46178</v>
      </c>
      <c r="L460" s="137">
        <v>46234</v>
      </c>
      <c r="M460" s="68" t="s">
        <v>736</v>
      </c>
    </row>
    <row r="461" spans="1:13">
      <c r="A461" s="87">
        <v>9788</v>
      </c>
      <c r="B461" s="88" t="s">
        <v>1049</v>
      </c>
      <c r="C461" s="87">
        <v>7798108836708</v>
      </c>
      <c r="D461" s="88" t="s">
        <v>1050</v>
      </c>
      <c r="E461" s="89">
        <v>4363.0559999999996</v>
      </c>
      <c r="F461" s="89">
        <v>3490.4447999999998</v>
      </c>
      <c r="G461" s="60">
        <v>872.61119999999983</v>
      </c>
      <c r="H461" s="91">
        <v>0.2</v>
      </c>
      <c r="I461" s="86" t="s">
        <v>18</v>
      </c>
      <c r="J461" s="86" t="s">
        <v>75</v>
      </c>
      <c r="K461" s="137">
        <v>46178</v>
      </c>
      <c r="L461" s="137">
        <v>46234</v>
      </c>
      <c r="M461" s="68" t="s">
        <v>736</v>
      </c>
    </row>
    <row r="462" spans="1:13">
      <c r="A462" s="87">
        <v>663916</v>
      </c>
      <c r="B462" s="88" t="s">
        <v>1051</v>
      </c>
      <c r="C462" s="87">
        <v>7798108834445</v>
      </c>
      <c r="D462" s="88" t="s">
        <v>1052</v>
      </c>
      <c r="E462" s="89">
        <v>4363.0559999999996</v>
      </c>
      <c r="F462" s="89">
        <v>3490.4447999999998</v>
      </c>
      <c r="G462" s="60">
        <v>872.61119999999983</v>
      </c>
      <c r="H462" s="91">
        <v>0.2</v>
      </c>
      <c r="I462" s="86" t="s">
        <v>18</v>
      </c>
      <c r="J462" s="86" t="s">
        <v>75</v>
      </c>
      <c r="K462" s="137">
        <v>46178</v>
      </c>
      <c r="L462" s="137">
        <v>46234</v>
      </c>
      <c r="M462" s="68" t="s">
        <v>736</v>
      </c>
    </row>
    <row r="463" spans="1:13">
      <c r="A463" s="87">
        <v>665945</v>
      </c>
      <c r="B463" s="88">
        <v>945</v>
      </c>
      <c r="C463" s="87">
        <v>7798152262799</v>
      </c>
      <c r="D463" s="88" t="s">
        <v>765</v>
      </c>
      <c r="E463" s="89">
        <v>15895.77</v>
      </c>
      <c r="F463" s="89">
        <v>14306.193000000001</v>
      </c>
      <c r="G463" s="60">
        <v>1589.5769999999993</v>
      </c>
      <c r="H463" s="91">
        <v>0.1</v>
      </c>
      <c r="I463" s="86" t="s">
        <v>18</v>
      </c>
      <c r="J463" s="86" t="s">
        <v>23</v>
      </c>
      <c r="K463" s="137">
        <v>46178</v>
      </c>
      <c r="L463" s="137">
        <v>46234</v>
      </c>
      <c r="M463" s="68" t="s">
        <v>736</v>
      </c>
    </row>
    <row r="464" spans="1:13">
      <c r="A464" s="87">
        <v>662525</v>
      </c>
      <c r="B464" s="88">
        <v>525</v>
      </c>
      <c r="C464" s="87">
        <v>814181012055</v>
      </c>
      <c r="D464" s="88" t="s">
        <v>766</v>
      </c>
      <c r="E464" s="89">
        <v>15895.77</v>
      </c>
      <c r="F464" s="89">
        <v>14306.193000000001</v>
      </c>
      <c r="G464" s="60">
        <v>1589.5769999999993</v>
      </c>
      <c r="H464" s="91">
        <v>0.1</v>
      </c>
      <c r="I464" s="86" t="s">
        <v>18</v>
      </c>
      <c r="J464" s="86" t="s">
        <v>23</v>
      </c>
      <c r="K464" s="137">
        <v>46178</v>
      </c>
      <c r="L464" s="137">
        <v>46234</v>
      </c>
      <c r="M464" s="68" t="s">
        <v>736</v>
      </c>
    </row>
    <row r="465" spans="1:13">
      <c r="A465" s="87">
        <v>662526</v>
      </c>
      <c r="B465" s="88">
        <v>526</v>
      </c>
      <c r="C465" s="87">
        <v>7798152261341</v>
      </c>
      <c r="D465" s="88" t="s">
        <v>767</v>
      </c>
      <c r="E465" s="89">
        <v>22317.24</v>
      </c>
      <c r="F465" s="89">
        <v>20085.516000000003</v>
      </c>
      <c r="G465" s="60">
        <v>2231.7239999999983</v>
      </c>
      <c r="H465" s="91">
        <v>0.1</v>
      </c>
      <c r="I465" s="86" t="s">
        <v>18</v>
      </c>
      <c r="J465" s="86" t="s">
        <v>23</v>
      </c>
      <c r="K465" s="137">
        <v>46178</v>
      </c>
      <c r="L465" s="137">
        <v>46234</v>
      </c>
      <c r="M465" s="68" t="s">
        <v>736</v>
      </c>
    </row>
    <row r="466" spans="1:13">
      <c r="A466" s="87">
        <v>659050</v>
      </c>
      <c r="B466" s="88">
        <v>2303</v>
      </c>
      <c r="C466" s="87">
        <v>7798039599413</v>
      </c>
      <c r="D466" s="88" t="s">
        <v>768</v>
      </c>
      <c r="E466" s="89">
        <v>6110.9930000000004</v>
      </c>
      <c r="F466" s="89">
        <v>5499.8937000000005</v>
      </c>
      <c r="G466" s="60">
        <v>611.09929999999986</v>
      </c>
      <c r="H466" s="91">
        <v>0.1</v>
      </c>
      <c r="I466" s="86" t="s">
        <v>18</v>
      </c>
      <c r="J466" s="86" t="s">
        <v>23</v>
      </c>
      <c r="K466" s="137">
        <v>46178</v>
      </c>
      <c r="L466" s="137">
        <v>46234</v>
      </c>
      <c r="M466" s="68" t="s">
        <v>736</v>
      </c>
    </row>
    <row r="467" spans="1:13">
      <c r="A467" s="87">
        <v>666517</v>
      </c>
      <c r="B467" s="88">
        <v>2311</v>
      </c>
      <c r="C467" s="87">
        <v>7798422330357</v>
      </c>
      <c r="D467" s="88" t="s">
        <v>769</v>
      </c>
      <c r="E467" s="89">
        <v>12967.5</v>
      </c>
      <c r="F467" s="89">
        <v>11670.75</v>
      </c>
      <c r="G467" s="60">
        <v>1296.75</v>
      </c>
      <c r="H467" s="91">
        <v>0.1</v>
      </c>
      <c r="I467" s="86" t="s">
        <v>18</v>
      </c>
      <c r="J467" s="86" t="s">
        <v>23</v>
      </c>
      <c r="K467" s="137">
        <v>46178</v>
      </c>
      <c r="L467" s="137">
        <v>46234</v>
      </c>
      <c r="M467" s="68" t="s">
        <v>736</v>
      </c>
    </row>
    <row r="468" spans="1:13">
      <c r="A468" s="87">
        <v>663613</v>
      </c>
      <c r="B468" s="88">
        <v>2309</v>
      </c>
      <c r="C468" s="87">
        <v>7798039599710</v>
      </c>
      <c r="D468" s="88" t="s">
        <v>770</v>
      </c>
      <c r="E468" s="89">
        <v>6110.9930000000004</v>
      </c>
      <c r="F468" s="89">
        <v>5499.8937000000005</v>
      </c>
      <c r="G468" s="60">
        <v>611.09929999999986</v>
      </c>
      <c r="H468" s="91">
        <v>0.1</v>
      </c>
      <c r="I468" s="86" t="s">
        <v>18</v>
      </c>
      <c r="J468" s="86" t="s">
        <v>23</v>
      </c>
      <c r="K468" s="137">
        <v>46178</v>
      </c>
      <c r="L468" s="137">
        <v>46234</v>
      </c>
      <c r="M468" s="68" t="s">
        <v>736</v>
      </c>
    </row>
    <row r="469" spans="1:13">
      <c r="A469" s="87">
        <v>665915</v>
      </c>
      <c r="B469" s="88">
        <v>0</v>
      </c>
      <c r="C469" s="87">
        <v>7798111990930</v>
      </c>
      <c r="D469" s="88" t="s">
        <v>771</v>
      </c>
      <c r="E469" s="89">
        <v>13333.4</v>
      </c>
      <c r="F469" s="89">
        <v>12000.06</v>
      </c>
      <c r="G469" s="60">
        <v>1333.3400000000001</v>
      </c>
      <c r="H469" s="91">
        <v>0.1</v>
      </c>
      <c r="I469" s="86" t="s">
        <v>18</v>
      </c>
      <c r="J469" s="86" t="s">
        <v>23</v>
      </c>
      <c r="K469" s="137">
        <v>46178</v>
      </c>
      <c r="L469" s="137">
        <v>46234</v>
      </c>
      <c r="M469" s="68" t="s">
        <v>736</v>
      </c>
    </row>
    <row r="470" spans="1:13">
      <c r="A470" s="87">
        <v>12595</v>
      </c>
      <c r="B470" s="88" t="s">
        <v>772</v>
      </c>
      <c r="C470" s="87">
        <v>7798111990701</v>
      </c>
      <c r="D470" s="88" t="s">
        <v>773</v>
      </c>
      <c r="E470" s="89">
        <v>10555.9</v>
      </c>
      <c r="F470" s="89">
        <v>9500.31</v>
      </c>
      <c r="G470" s="60">
        <v>1055.5900000000001</v>
      </c>
      <c r="H470" s="91">
        <v>0.1</v>
      </c>
      <c r="I470" s="86" t="s">
        <v>18</v>
      </c>
      <c r="J470" s="86" t="s">
        <v>23</v>
      </c>
      <c r="K470" s="137">
        <v>46178</v>
      </c>
      <c r="L470" s="137">
        <v>46234</v>
      </c>
      <c r="M470" s="68" t="s">
        <v>736</v>
      </c>
    </row>
    <row r="471" spans="1:13">
      <c r="A471" s="87">
        <v>14070</v>
      </c>
      <c r="B471" s="88" t="s">
        <v>774</v>
      </c>
      <c r="C471" s="87">
        <v>7798111990282</v>
      </c>
      <c r="D471" s="88" t="s">
        <v>775</v>
      </c>
      <c r="E471" s="89">
        <v>10555.9</v>
      </c>
      <c r="F471" s="89">
        <v>9500.31</v>
      </c>
      <c r="G471" s="60">
        <v>1055.5900000000001</v>
      </c>
      <c r="H471" s="91">
        <v>0.1</v>
      </c>
      <c r="I471" s="86" t="s">
        <v>18</v>
      </c>
      <c r="J471" s="86" t="s">
        <v>23</v>
      </c>
      <c r="K471" s="137">
        <v>46178</v>
      </c>
      <c r="L471" s="137">
        <v>46234</v>
      </c>
      <c r="M471" s="68" t="s">
        <v>736</v>
      </c>
    </row>
    <row r="472" spans="1:13">
      <c r="A472" s="87">
        <v>660076</v>
      </c>
      <c r="B472" s="88" t="s">
        <v>776</v>
      </c>
      <c r="C472" s="87">
        <v>7798111990909</v>
      </c>
      <c r="D472" s="88" t="s">
        <v>777</v>
      </c>
      <c r="E472" s="89">
        <v>10555.9</v>
      </c>
      <c r="F472" s="89">
        <v>9500.31</v>
      </c>
      <c r="G472" s="60">
        <v>1055.5900000000001</v>
      </c>
      <c r="H472" s="91">
        <v>0.1</v>
      </c>
      <c r="I472" s="86" t="s">
        <v>18</v>
      </c>
      <c r="J472" s="86" t="s">
        <v>23</v>
      </c>
      <c r="K472" s="137">
        <v>46178</v>
      </c>
      <c r="L472" s="137">
        <v>46234</v>
      </c>
      <c r="M472" s="68" t="s">
        <v>736</v>
      </c>
    </row>
    <row r="473" spans="1:13">
      <c r="A473" s="87">
        <v>660077</v>
      </c>
      <c r="B473" s="88" t="s">
        <v>778</v>
      </c>
      <c r="C473" s="87">
        <v>7798111990688</v>
      </c>
      <c r="D473" s="88" t="s">
        <v>779</v>
      </c>
      <c r="E473" s="89">
        <v>10555.9</v>
      </c>
      <c r="F473" s="89">
        <v>9500.31</v>
      </c>
      <c r="G473" s="60">
        <v>1055.5900000000001</v>
      </c>
      <c r="H473" s="91">
        <v>0.1</v>
      </c>
      <c r="I473" s="86" t="s">
        <v>18</v>
      </c>
      <c r="J473" s="86" t="s">
        <v>23</v>
      </c>
      <c r="K473" s="137">
        <v>46178</v>
      </c>
      <c r="L473" s="137">
        <v>46234</v>
      </c>
      <c r="M473" s="68" t="s">
        <v>736</v>
      </c>
    </row>
    <row r="474" spans="1:13">
      <c r="A474" s="152">
        <v>663726</v>
      </c>
      <c r="B474" s="153">
        <v>12509</v>
      </c>
      <c r="C474" s="152">
        <v>7798081668693</v>
      </c>
      <c r="D474" s="153" t="s">
        <v>1316</v>
      </c>
      <c r="E474" s="154">
        <v>22695.18</v>
      </c>
      <c r="F474" s="154">
        <v>18156.144</v>
      </c>
      <c r="G474" s="143">
        <v>4284.0360000000001</v>
      </c>
      <c r="H474" s="155">
        <v>0.2</v>
      </c>
      <c r="I474" s="156" t="s">
        <v>18</v>
      </c>
      <c r="J474" s="156" t="s">
        <v>75</v>
      </c>
      <c r="K474" s="148">
        <v>46206</v>
      </c>
      <c r="L474" s="157">
        <v>46234</v>
      </c>
      <c r="M474" s="68" t="s">
        <v>736</v>
      </c>
    </row>
    <row r="475" spans="1:13">
      <c r="A475" s="152">
        <v>663725</v>
      </c>
      <c r="B475" s="153">
        <v>12369</v>
      </c>
      <c r="C475" s="152">
        <v>7798141874101</v>
      </c>
      <c r="D475" s="153" t="s">
        <v>1317</v>
      </c>
      <c r="E475" s="154">
        <v>19720.150000000001</v>
      </c>
      <c r="F475" s="154">
        <v>15776.120000000003</v>
      </c>
      <c r="G475" s="143">
        <v>3723.0299999999988</v>
      </c>
      <c r="H475" s="155">
        <v>0.2</v>
      </c>
      <c r="I475" s="156" t="s">
        <v>18</v>
      </c>
      <c r="J475" s="156" t="s">
        <v>75</v>
      </c>
      <c r="K475" s="148">
        <v>46206</v>
      </c>
      <c r="L475" s="157">
        <v>46234</v>
      </c>
      <c r="M475" s="68" t="s">
        <v>736</v>
      </c>
    </row>
    <row r="476" spans="1:13">
      <c r="A476" s="152">
        <v>663735</v>
      </c>
      <c r="B476" s="153">
        <v>12368</v>
      </c>
      <c r="C476" s="152">
        <v>7798141871469</v>
      </c>
      <c r="D476" s="153" t="s">
        <v>1318</v>
      </c>
      <c r="E476" s="154">
        <v>45815.37</v>
      </c>
      <c r="F476" s="154">
        <v>36652.296000000002</v>
      </c>
      <c r="G476" s="143">
        <v>8653.07</v>
      </c>
      <c r="H476" s="155">
        <v>0.2</v>
      </c>
      <c r="I476" s="156" t="s">
        <v>18</v>
      </c>
      <c r="J476" s="156" t="s">
        <v>75</v>
      </c>
      <c r="K476" s="148">
        <v>46206</v>
      </c>
      <c r="L476" s="157">
        <v>46234</v>
      </c>
      <c r="M476" s="68" t="s">
        <v>736</v>
      </c>
    </row>
    <row r="477" spans="1:13">
      <c r="A477" s="152">
        <v>14313</v>
      </c>
      <c r="B477" s="153">
        <v>12371</v>
      </c>
      <c r="C477" s="152">
        <v>7798081661335</v>
      </c>
      <c r="D477" s="153" t="s">
        <v>1319</v>
      </c>
      <c r="E477" s="154">
        <v>12537.61</v>
      </c>
      <c r="F477" s="154">
        <v>8358.8245869999992</v>
      </c>
      <c r="G477" s="143">
        <v>3937.969497000001</v>
      </c>
      <c r="H477" s="158">
        <v>0.33329999999999999</v>
      </c>
      <c r="I477" s="156" t="s">
        <v>18</v>
      </c>
      <c r="J477" s="156" t="s">
        <v>1320</v>
      </c>
      <c r="K477" s="148">
        <v>46206</v>
      </c>
      <c r="L477" s="157">
        <v>46234</v>
      </c>
      <c r="M477" s="68" t="s">
        <v>736</v>
      </c>
    </row>
    <row r="478" spans="1:13">
      <c r="A478" s="152">
        <v>665351</v>
      </c>
      <c r="B478" s="153">
        <v>12396</v>
      </c>
      <c r="C478" s="152">
        <v>7798081660406</v>
      </c>
      <c r="D478" s="153" t="s">
        <v>1321</v>
      </c>
      <c r="E478" s="154">
        <v>12537.61</v>
      </c>
      <c r="F478" s="154">
        <v>8358.8245869999992</v>
      </c>
      <c r="G478" s="143">
        <v>3937.969497000001</v>
      </c>
      <c r="H478" s="158">
        <v>0.33329999999999999</v>
      </c>
      <c r="I478" s="156" t="s">
        <v>18</v>
      </c>
      <c r="J478" s="156" t="s">
        <v>1320</v>
      </c>
      <c r="K478" s="148">
        <v>46206</v>
      </c>
      <c r="L478" s="157">
        <v>46234</v>
      </c>
      <c r="M478" s="68" t="s">
        <v>736</v>
      </c>
    </row>
    <row r="479" spans="1:13">
      <c r="A479" s="152">
        <v>665350</v>
      </c>
      <c r="B479" s="153">
        <v>12389</v>
      </c>
      <c r="C479" s="152">
        <v>7798141877140</v>
      </c>
      <c r="D479" s="153" t="s">
        <v>1322</v>
      </c>
      <c r="E479" s="154">
        <v>9171.5709999999999</v>
      </c>
      <c r="F479" s="154">
        <v>6114.6863856999998</v>
      </c>
      <c r="G479" s="143">
        <v>2889.7333311000002</v>
      </c>
      <c r="H479" s="158">
        <v>0.33329999999999999</v>
      </c>
      <c r="I479" s="156" t="s">
        <v>18</v>
      </c>
      <c r="J479" s="156" t="s">
        <v>1320</v>
      </c>
      <c r="K479" s="148">
        <v>46206</v>
      </c>
      <c r="L479" s="157">
        <v>46234</v>
      </c>
      <c r="M479" s="68" t="s">
        <v>736</v>
      </c>
    </row>
    <row r="480" spans="1:13">
      <c r="A480" s="152">
        <v>3148</v>
      </c>
      <c r="B480" s="153">
        <v>12373</v>
      </c>
      <c r="C480" s="152">
        <v>7798141877089</v>
      </c>
      <c r="D480" s="153" t="s">
        <v>1323</v>
      </c>
      <c r="E480" s="154">
        <v>9171.5709999999999</v>
      </c>
      <c r="F480" s="154">
        <v>6114.6863856999998</v>
      </c>
      <c r="G480" s="143">
        <v>2889.7333311000002</v>
      </c>
      <c r="H480" s="158">
        <v>0.33329999999999999</v>
      </c>
      <c r="I480" s="156" t="s">
        <v>18</v>
      </c>
      <c r="J480" s="156" t="s">
        <v>1320</v>
      </c>
      <c r="K480" s="148">
        <v>46206</v>
      </c>
      <c r="L480" s="157">
        <v>46234</v>
      </c>
      <c r="M480" s="68" t="s">
        <v>736</v>
      </c>
    </row>
    <row r="481" spans="1:13">
      <c r="A481" s="87">
        <v>7735</v>
      </c>
      <c r="B481" s="88">
        <v>20501</v>
      </c>
      <c r="C481" s="87">
        <v>7790577000567</v>
      </c>
      <c r="D481" s="88" t="s">
        <v>780</v>
      </c>
      <c r="E481" s="89">
        <v>8612.9920000000002</v>
      </c>
      <c r="F481" s="89">
        <v>7751.6928000000007</v>
      </c>
      <c r="G481" s="60">
        <v>861.29919999999947</v>
      </c>
      <c r="H481" s="91">
        <v>0.1</v>
      </c>
      <c r="I481" s="86" t="s">
        <v>18</v>
      </c>
      <c r="J481" s="86" t="s">
        <v>23</v>
      </c>
      <c r="K481" s="137">
        <v>46178</v>
      </c>
      <c r="L481" s="137">
        <v>46234</v>
      </c>
      <c r="M481" s="68" t="s">
        <v>736</v>
      </c>
    </row>
    <row r="482" spans="1:13">
      <c r="A482" s="87">
        <v>662863</v>
      </c>
      <c r="B482" s="88">
        <v>10010030249</v>
      </c>
      <c r="C482" s="87">
        <v>7791843022511</v>
      </c>
      <c r="D482" s="88" t="s">
        <v>1053</v>
      </c>
      <c r="E482" s="89">
        <v>4109.2659999999996</v>
      </c>
      <c r="F482" s="89">
        <v>3287.4128000000001</v>
      </c>
      <c r="G482" s="60">
        <v>821.85319999999956</v>
      </c>
      <c r="H482" s="91">
        <v>0.2</v>
      </c>
      <c r="I482" s="86" t="s">
        <v>18</v>
      </c>
      <c r="J482" s="86" t="s">
        <v>75</v>
      </c>
      <c r="K482" s="137">
        <v>46178</v>
      </c>
      <c r="L482" s="137">
        <v>46234</v>
      </c>
      <c r="M482" s="68" t="s">
        <v>736</v>
      </c>
    </row>
    <row r="483" spans="1:13">
      <c r="A483" s="87">
        <v>13307</v>
      </c>
      <c r="B483" s="88">
        <v>10010051122</v>
      </c>
      <c r="C483" s="87">
        <v>7791843011607</v>
      </c>
      <c r="D483" s="88" t="s">
        <v>1054</v>
      </c>
      <c r="E483" s="89">
        <v>5213.3379999999997</v>
      </c>
      <c r="F483" s="89">
        <v>4170.6704</v>
      </c>
      <c r="G483" s="60">
        <v>1042.6675999999998</v>
      </c>
      <c r="H483" s="91">
        <v>0.2</v>
      </c>
      <c r="I483" s="86" t="s">
        <v>18</v>
      </c>
      <c r="J483" s="86" t="s">
        <v>75</v>
      </c>
      <c r="K483" s="137">
        <v>46178</v>
      </c>
      <c r="L483" s="137">
        <v>46234</v>
      </c>
      <c r="M483" s="68" t="s">
        <v>736</v>
      </c>
    </row>
    <row r="484" spans="1:13">
      <c r="A484" s="87">
        <v>1857</v>
      </c>
      <c r="B484" s="88">
        <v>10010051022</v>
      </c>
      <c r="C484" s="87">
        <v>7791843011638</v>
      </c>
      <c r="D484" s="88" t="s">
        <v>1055</v>
      </c>
      <c r="E484" s="89">
        <v>5213.3379999999997</v>
      </c>
      <c r="F484" s="89">
        <v>4170.6704</v>
      </c>
      <c r="G484" s="60">
        <v>1042.6675999999998</v>
      </c>
      <c r="H484" s="91">
        <v>0.2</v>
      </c>
      <c r="I484" s="86" t="s">
        <v>18</v>
      </c>
      <c r="J484" s="86" t="s">
        <v>75</v>
      </c>
      <c r="K484" s="137">
        <v>46178</v>
      </c>
      <c r="L484" s="137">
        <v>46234</v>
      </c>
      <c r="M484" s="68" t="s">
        <v>736</v>
      </c>
    </row>
    <row r="485" spans="1:13">
      <c r="A485" s="87">
        <v>14142</v>
      </c>
      <c r="B485" s="88">
        <v>10010024222</v>
      </c>
      <c r="C485" s="87">
        <v>7791843011881</v>
      </c>
      <c r="D485" s="88" t="s">
        <v>1056</v>
      </c>
      <c r="E485" s="89">
        <v>4491.7129999999997</v>
      </c>
      <c r="F485" s="89">
        <v>3593.3703999999998</v>
      </c>
      <c r="G485" s="60">
        <v>898.34259999999995</v>
      </c>
      <c r="H485" s="91">
        <v>0.2</v>
      </c>
      <c r="I485" s="86" t="s">
        <v>18</v>
      </c>
      <c r="J485" s="86" t="s">
        <v>75</v>
      </c>
      <c r="K485" s="137">
        <v>46178</v>
      </c>
      <c r="L485" s="137">
        <v>46234</v>
      </c>
      <c r="M485" s="68" t="s">
        <v>736</v>
      </c>
    </row>
    <row r="486" spans="1:13">
      <c r="A486" s="87">
        <v>666536</v>
      </c>
      <c r="B486" s="88">
        <v>14334</v>
      </c>
      <c r="C486" s="87">
        <v>7798051303340</v>
      </c>
      <c r="D486" s="88" t="s">
        <v>1273</v>
      </c>
      <c r="E486" s="89">
        <v>7254.0320000000002</v>
      </c>
      <c r="F486" s="89">
        <v>3627.0160000000001</v>
      </c>
      <c r="G486" s="60">
        <v>3627.0160000000001</v>
      </c>
      <c r="H486" s="141">
        <v>0.5</v>
      </c>
      <c r="I486" s="86" t="s">
        <v>15</v>
      </c>
      <c r="J486" s="86" t="s">
        <v>640</v>
      </c>
      <c r="K486" s="137">
        <v>46178</v>
      </c>
      <c r="L486" s="137">
        <v>46234</v>
      </c>
      <c r="M486" s="68" t="s">
        <v>736</v>
      </c>
    </row>
    <row r="487" spans="1:13">
      <c r="A487" s="87">
        <v>666537</v>
      </c>
      <c r="B487" s="88">
        <v>14335</v>
      </c>
      <c r="C487" s="87">
        <v>7798051303357</v>
      </c>
      <c r="D487" s="88" t="s">
        <v>1274</v>
      </c>
      <c r="E487" s="89">
        <v>7254.0320000000002</v>
      </c>
      <c r="F487" s="89">
        <v>3627.0160000000001</v>
      </c>
      <c r="G487" s="60">
        <v>3627.0160000000001</v>
      </c>
      <c r="H487" s="141">
        <v>0.5</v>
      </c>
      <c r="I487" s="86" t="s">
        <v>15</v>
      </c>
      <c r="J487" s="86" t="s">
        <v>640</v>
      </c>
      <c r="K487" s="137">
        <v>46178</v>
      </c>
      <c r="L487" s="137">
        <v>46234</v>
      </c>
      <c r="M487" s="68" t="s">
        <v>736</v>
      </c>
    </row>
    <row r="488" spans="1:13">
      <c r="A488" s="87">
        <v>666535</v>
      </c>
      <c r="B488" s="88">
        <v>14333</v>
      </c>
      <c r="C488" s="87">
        <v>7798051303333</v>
      </c>
      <c r="D488" s="88" t="s">
        <v>1275</v>
      </c>
      <c r="E488" s="89">
        <v>7254.0320000000002</v>
      </c>
      <c r="F488" s="89">
        <v>3627.0160000000001</v>
      </c>
      <c r="G488" s="60">
        <v>3627.0160000000001</v>
      </c>
      <c r="H488" s="141">
        <v>0.5</v>
      </c>
      <c r="I488" s="86" t="s">
        <v>15</v>
      </c>
      <c r="J488" s="86" t="s">
        <v>640</v>
      </c>
      <c r="K488" s="137">
        <v>46178</v>
      </c>
      <c r="L488" s="137">
        <v>46234</v>
      </c>
      <c r="M488" s="68" t="s">
        <v>736</v>
      </c>
    </row>
    <row r="489" spans="1:13">
      <c r="A489" s="87">
        <v>666534</v>
      </c>
      <c r="B489" s="88">
        <v>14332</v>
      </c>
      <c r="C489" s="87">
        <v>7798051303326</v>
      </c>
      <c r="D489" s="88" t="s">
        <v>1276</v>
      </c>
      <c r="E489" s="89">
        <v>7254.0320000000002</v>
      </c>
      <c r="F489" s="89">
        <v>3627.0160000000001</v>
      </c>
      <c r="G489" s="60">
        <v>3627.0160000000001</v>
      </c>
      <c r="H489" s="141">
        <v>0.5</v>
      </c>
      <c r="I489" s="86" t="s">
        <v>15</v>
      </c>
      <c r="J489" s="86" t="s">
        <v>640</v>
      </c>
      <c r="K489" s="137">
        <v>46178</v>
      </c>
      <c r="L489" s="137">
        <v>46234</v>
      </c>
      <c r="M489" s="68" t="s">
        <v>736</v>
      </c>
    </row>
    <row r="490" spans="1:13">
      <c r="A490" s="87">
        <v>11223</v>
      </c>
      <c r="B490" s="88">
        <v>190750</v>
      </c>
      <c r="C490" s="87">
        <v>7790415130517</v>
      </c>
      <c r="D490" s="88" t="s">
        <v>1057</v>
      </c>
      <c r="E490" s="89">
        <v>5579.9989999999998</v>
      </c>
      <c r="F490" s="89">
        <v>4463.9992000000002</v>
      </c>
      <c r="G490" s="60">
        <v>1115.9997999999996</v>
      </c>
      <c r="H490" s="91">
        <v>0.2</v>
      </c>
      <c r="I490" s="86" t="s">
        <v>18</v>
      </c>
      <c r="J490" s="86" t="s">
        <v>75</v>
      </c>
      <c r="K490" s="137">
        <v>46178</v>
      </c>
      <c r="L490" s="137">
        <v>46234</v>
      </c>
      <c r="M490" s="68" t="s">
        <v>736</v>
      </c>
    </row>
    <row r="491" spans="1:13">
      <c r="A491" s="87">
        <v>662437</v>
      </c>
      <c r="B491" s="88">
        <v>0</v>
      </c>
      <c r="C491" s="87">
        <v>7798104410414</v>
      </c>
      <c r="D491" s="88" t="s">
        <v>781</v>
      </c>
      <c r="E491" s="89">
        <v>19204.73</v>
      </c>
      <c r="F491" s="89">
        <v>17284.257000000001</v>
      </c>
      <c r="G491" s="60">
        <v>1920.4729999999981</v>
      </c>
      <c r="H491" s="91">
        <v>0.1</v>
      </c>
      <c r="I491" s="86" t="s">
        <v>18</v>
      </c>
      <c r="J491" s="86" t="s">
        <v>23</v>
      </c>
      <c r="K491" s="137">
        <v>46178</v>
      </c>
      <c r="L491" s="137">
        <v>46234</v>
      </c>
      <c r="M491" s="68" t="s">
        <v>736</v>
      </c>
    </row>
    <row r="492" spans="1:13">
      <c r="A492" s="87">
        <v>662321</v>
      </c>
      <c r="B492" s="88">
        <v>321</v>
      </c>
      <c r="C492" s="87">
        <v>7798152263086</v>
      </c>
      <c r="D492" s="88" t="s">
        <v>1222</v>
      </c>
      <c r="E492" s="89">
        <v>16820.04</v>
      </c>
      <c r="F492" s="89">
        <v>12615.03</v>
      </c>
      <c r="G492" s="60">
        <v>4205.01</v>
      </c>
      <c r="H492" s="91">
        <v>0.25</v>
      </c>
      <c r="I492" s="86" t="s">
        <v>18</v>
      </c>
      <c r="J492" s="86" t="s">
        <v>24</v>
      </c>
      <c r="K492" s="137">
        <v>46178</v>
      </c>
      <c r="L492" s="137">
        <v>46234</v>
      </c>
      <c r="M492" s="68" t="s">
        <v>736</v>
      </c>
    </row>
    <row r="493" spans="1:13">
      <c r="A493" s="152">
        <v>664528</v>
      </c>
      <c r="B493" s="153">
        <v>12528</v>
      </c>
      <c r="C493" s="152">
        <v>7790168904465</v>
      </c>
      <c r="D493" s="153" t="s">
        <v>1324</v>
      </c>
      <c r="E493" s="154">
        <v>5415.05</v>
      </c>
      <c r="F493" s="154">
        <v>4061.2875000000004</v>
      </c>
      <c r="G493" s="143">
        <v>1246.8847500000002</v>
      </c>
      <c r="H493" s="155">
        <v>0.25</v>
      </c>
      <c r="I493" s="156" t="s">
        <v>18</v>
      </c>
      <c r="J493" s="156" t="s">
        <v>24</v>
      </c>
      <c r="K493" s="148">
        <v>46206</v>
      </c>
      <c r="L493" s="157">
        <v>46234</v>
      </c>
      <c r="M493" s="68" t="s">
        <v>736</v>
      </c>
    </row>
    <row r="494" spans="1:13">
      <c r="A494" s="152">
        <v>664527</v>
      </c>
      <c r="B494" s="153">
        <v>12526</v>
      </c>
      <c r="C494" s="152">
        <v>7790168904434</v>
      </c>
      <c r="D494" s="153" t="s">
        <v>1325</v>
      </c>
      <c r="E494" s="154">
        <v>5415.05</v>
      </c>
      <c r="F494" s="154">
        <v>4061.2875000000004</v>
      </c>
      <c r="G494" s="143">
        <v>1246.8847500000002</v>
      </c>
      <c r="H494" s="155">
        <v>0.25</v>
      </c>
      <c r="I494" s="156" t="s">
        <v>18</v>
      </c>
      <c r="J494" s="156" t="s">
        <v>24</v>
      </c>
      <c r="K494" s="148">
        <v>46206</v>
      </c>
      <c r="L494" s="157">
        <v>46234</v>
      </c>
      <c r="M494" s="68" t="s">
        <v>736</v>
      </c>
    </row>
    <row r="495" spans="1:13">
      <c r="A495" s="152">
        <v>664526</v>
      </c>
      <c r="B495" s="153">
        <v>12524</v>
      </c>
      <c r="C495" s="152">
        <v>7790168904403</v>
      </c>
      <c r="D495" s="153" t="s">
        <v>1326</v>
      </c>
      <c r="E495" s="154">
        <v>5415.05</v>
      </c>
      <c r="F495" s="154">
        <v>4061.2875000000004</v>
      </c>
      <c r="G495" s="143">
        <v>1246.8847500000002</v>
      </c>
      <c r="H495" s="155">
        <v>0.25</v>
      </c>
      <c r="I495" s="156" t="s">
        <v>18</v>
      </c>
      <c r="J495" s="156" t="s">
        <v>24</v>
      </c>
      <c r="K495" s="148">
        <v>46206</v>
      </c>
      <c r="L495" s="157">
        <v>46234</v>
      </c>
      <c r="M495" s="68" t="s">
        <v>736</v>
      </c>
    </row>
    <row r="496" spans="1:13">
      <c r="A496" s="152">
        <v>662762</v>
      </c>
      <c r="B496" s="153">
        <v>12472</v>
      </c>
      <c r="C496" s="152">
        <v>7790168903802</v>
      </c>
      <c r="D496" s="153" t="s">
        <v>1327</v>
      </c>
      <c r="E496" s="154">
        <v>6032.5479999999998</v>
      </c>
      <c r="F496" s="154">
        <v>4524.4110000000001</v>
      </c>
      <c r="G496" s="143">
        <v>1401.26325</v>
      </c>
      <c r="H496" s="155">
        <v>0.25</v>
      </c>
      <c r="I496" s="156" t="s">
        <v>18</v>
      </c>
      <c r="J496" s="156" t="s">
        <v>24</v>
      </c>
      <c r="K496" s="148">
        <v>46206</v>
      </c>
      <c r="L496" s="157">
        <v>46234</v>
      </c>
      <c r="M496" s="68" t="s">
        <v>736</v>
      </c>
    </row>
    <row r="497" spans="1:13">
      <c r="A497" s="152">
        <v>5583</v>
      </c>
      <c r="B497" s="153">
        <v>12474</v>
      </c>
      <c r="C497" s="152">
        <v>7790168903895</v>
      </c>
      <c r="D497" s="153" t="s">
        <v>1328</v>
      </c>
      <c r="E497" s="154">
        <v>7982.0910000000003</v>
      </c>
      <c r="F497" s="154">
        <v>5986.5682500000003</v>
      </c>
      <c r="G497" s="143">
        <v>1857.8999999999996</v>
      </c>
      <c r="H497" s="155">
        <v>0.25</v>
      </c>
      <c r="I497" s="156" t="s">
        <v>18</v>
      </c>
      <c r="J497" s="156" t="s">
        <v>24</v>
      </c>
      <c r="K497" s="148">
        <v>46206</v>
      </c>
      <c r="L497" s="157">
        <v>46234</v>
      </c>
      <c r="M497" s="68" t="s">
        <v>736</v>
      </c>
    </row>
    <row r="498" spans="1:13">
      <c r="A498" s="87">
        <v>665419</v>
      </c>
      <c r="B498" s="88">
        <v>419</v>
      </c>
      <c r="C498" s="87">
        <v>7798152262317</v>
      </c>
      <c r="D498" s="88" t="s">
        <v>782</v>
      </c>
      <c r="E498" s="89">
        <v>29370.33</v>
      </c>
      <c r="F498" s="89">
        <v>26433.297000000002</v>
      </c>
      <c r="G498" s="60">
        <v>2937.0329999999994</v>
      </c>
      <c r="H498" s="91">
        <v>0.1</v>
      </c>
      <c r="I498" s="86" t="s">
        <v>18</v>
      </c>
      <c r="J498" s="86" t="s">
        <v>23</v>
      </c>
      <c r="K498" s="137">
        <v>46178</v>
      </c>
      <c r="L498" s="137">
        <v>46234</v>
      </c>
      <c r="M498" s="68" t="s">
        <v>736</v>
      </c>
    </row>
    <row r="499" spans="1:13">
      <c r="A499" s="87">
        <v>666473</v>
      </c>
      <c r="B499" s="88">
        <v>100191427</v>
      </c>
      <c r="C499" s="87">
        <v>7791728247022</v>
      </c>
      <c r="D499" s="88" t="s">
        <v>1058</v>
      </c>
      <c r="E499" s="89">
        <v>40050.01</v>
      </c>
      <c r="F499" s="89">
        <v>32040.008000000002</v>
      </c>
      <c r="G499" s="60">
        <v>8010.0020000000004</v>
      </c>
      <c r="H499" s="91">
        <v>0.2</v>
      </c>
      <c r="I499" s="86" t="s">
        <v>18</v>
      </c>
      <c r="J499" s="86" t="s">
        <v>75</v>
      </c>
      <c r="K499" s="137">
        <v>46178</v>
      </c>
      <c r="L499" s="137">
        <v>46234</v>
      </c>
      <c r="M499" s="68" t="s">
        <v>736</v>
      </c>
    </row>
    <row r="500" spans="1:13">
      <c r="A500" s="87">
        <v>662862</v>
      </c>
      <c r="B500" s="88">
        <v>10010056722</v>
      </c>
      <c r="C500" s="87">
        <v>7791843020753</v>
      </c>
      <c r="D500" s="88" t="s">
        <v>1059</v>
      </c>
      <c r="E500" s="89">
        <v>6505.9139999999998</v>
      </c>
      <c r="F500" s="89">
        <v>5204.7312000000002</v>
      </c>
      <c r="G500" s="60">
        <v>1301.1827999999996</v>
      </c>
      <c r="H500" s="91">
        <v>0.2</v>
      </c>
      <c r="I500" s="86" t="s">
        <v>18</v>
      </c>
      <c r="J500" s="86" t="s">
        <v>75</v>
      </c>
      <c r="K500" s="137">
        <v>46178</v>
      </c>
      <c r="L500" s="137">
        <v>46234</v>
      </c>
      <c r="M500" s="68" t="s">
        <v>736</v>
      </c>
    </row>
    <row r="501" spans="1:13">
      <c r="A501" s="87">
        <v>664824</v>
      </c>
      <c r="B501" s="88">
        <v>10010069822</v>
      </c>
      <c r="C501" s="87">
        <v>7791843025062</v>
      </c>
      <c r="D501" s="88" t="s">
        <v>1060</v>
      </c>
      <c r="E501" s="89">
        <v>6505.9139999999998</v>
      </c>
      <c r="F501" s="89">
        <v>5204.7312000000002</v>
      </c>
      <c r="G501" s="60">
        <v>1301.1827999999996</v>
      </c>
      <c r="H501" s="91">
        <v>0.2</v>
      </c>
      <c r="I501" s="86" t="s">
        <v>18</v>
      </c>
      <c r="J501" s="86" t="s">
        <v>75</v>
      </c>
      <c r="K501" s="137">
        <v>46178</v>
      </c>
      <c r="L501" s="137">
        <v>46234</v>
      </c>
      <c r="M501" s="68" t="s">
        <v>736</v>
      </c>
    </row>
    <row r="502" spans="1:13">
      <c r="A502" s="87">
        <v>663249</v>
      </c>
      <c r="B502" s="88">
        <v>10010058322</v>
      </c>
      <c r="C502" s="87">
        <v>7791843020777</v>
      </c>
      <c r="D502" s="88" t="s">
        <v>1061</v>
      </c>
      <c r="E502" s="89">
        <v>8419.8449999999993</v>
      </c>
      <c r="F502" s="89">
        <v>6735.8760000000002</v>
      </c>
      <c r="G502" s="60">
        <v>1683.9689999999991</v>
      </c>
      <c r="H502" s="91">
        <v>0.2</v>
      </c>
      <c r="I502" s="86" t="s">
        <v>18</v>
      </c>
      <c r="J502" s="86" t="s">
        <v>75</v>
      </c>
      <c r="K502" s="137">
        <v>46178</v>
      </c>
      <c r="L502" s="137">
        <v>46234</v>
      </c>
      <c r="M502" s="68" t="s">
        <v>736</v>
      </c>
    </row>
    <row r="503" spans="1:13">
      <c r="A503" s="87">
        <v>662207</v>
      </c>
      <c r="B503" s="88" t="s">
        <v>1062</v>
      </c>
      <c r="C503" s="87">
        <v>7798078237635</v>
      </c>
      <c r="D503" s="88" t="s">
        <v>1063</v>
      </c>
      <c r="E503" s="89">
        <v>15750.01</v>
      </c>
      <c r="F503" s="89">
        <v>12600.008000000002</v>
      </c>
      <c r="G503" s="60">
        <v>3150.0019999999986</v>
      </c>
      <c r="H503" s="91">
        <v>0.2</v>
      </c>
      <c r="I503" s="86" t="s">
        <v>18</v>
      </c>
      <c r="J503" s="86" t="s">
        <v>75</v>
      </c>
      <c r="K503" s="137">
        <v>46178</v>
      </c>
      <c r="L503" s="137">
        <v>46234</v>
      </c>
      <c r="M503" s="68" t="s">
        <v>736</v>
      </c>
    </row>
    <row r="504" spans="1:13">
      <c r="A504" s="87">
        <v>661214</v>
      </c>
      <c r="B504" s="88" t="s">
        <v>1064</v>
      </c>
      <c r="C504" s="87">
        <v>7798108833424</v>
      </c>
      <c r="D504" s="88" t="s">
        <v>1065</v>
      </c>
      <c r="E504" s="89">
        <v>6248.7749999999996</v>
      </c>
      <c r="F504" s="89">
        <v>4999.0200000000004</v>
      </c>
      <c r="G504" s="60">
        <v>1249.7549999999992</v>
      </c>
      <c r="H504" s="91">
        <v>0.2</v>
      </c>
      <c r="I504" s="86" t="s">
        <v>18</v>
      </c>
      <c r="J504" s="86" t="s">
        <v>75</v>
      </c>
      <c r="K504" s="137">
        <v>46178</v>
      </c>
      <c r="L504" s="137">
        <v>46234</v>
      </c>
      <c r="M504" s="68" t="s">
        <v>736</v>
      </c>
    </row>
    <row r="505" spans="1:13">
      <c r="A505" s="87">
        <v>661216</v>
      </c>
      <c r="B505" s="88" t="s">
        <v>1066</v>
      </c>
      <c r="C505" s="87">
        <v>7798108833400</v>
      </c>
      <c r="D505" s="88" t="s">
        <v>1067</v>
      </c>
      <c r="E505" s="89">
        <v>6248.7749999999996</v>
      </c>
      <c r="F505" s="89">
        <v>4999.0200000000004</v>
      </c>
      <c r="G505" s="60">
        <v>1249.7549999999992</v>
      </c>
      <c r="H505" s="91">
        <v>0.2</v>
      </c>
      <c r="I505" s="86" t="s">
        <v>18</v>
      </c>
      <c r="J505" s="86" t="s">
        <v>75</v>
      </c>
      <c r="K505" s="137">
        <v>46178</v>
      </c>
      <c r="L505" s="137">
        <v>46234</v>
      </c>
      <c r="M505" s="68" t="s">
        <v>736</v>
      </c>
    </row>
    <row r="506" spans="1:13">
      <c r="A506" s="87">
        <v>661215</v>
      </c>
      <c r="B506" s="88" t="s">
        <v>1068</v>
      </c>
      <c r="C506" s="87">
        <v>7798108833387</v>
      </c>
      <c r="D506" s="88" t="s">
        <v>1069</v>
      </c>
      <c r="E506" s="89">
        <v>6248.7749999999996</v>
      </c>
      <c r="F506" s="89">
        <v>4999.0200000000004</v>
      </c>
      <c r="G506" s="60">
        <v>1249.7549999999992</v>
      </c>
      <c r="H506" s="91">
        <v>0.2</v>
      </c>
      <c r="I506" s="86" t="s">
        <v>18</v>
      </c>
      <c r="J506" s="86" t="s">
        <v>75</v>
      </c>
      <c r="K506" s="137">
        <v>46178</v>
      </c>
      <c r="L506" s="137">
        <v>46234</v>
      </c>
      <c r="M506" s="68" t="s">
        <v>736</v>
      </c>
    </row>
    <row r="507" spans="1:13">
      <c r="A507" s="87">
        <v>660485</v>
      </c>
      <c r="B507" s="88">
        <v>0</v>
      </c>
      <c r="C507" s="87">
        <v>7796138000250</v>
      </c>
      <c r="D507" s="88" t="s">
        <v>1223</v>
      </c>
      <c r="E507" s="89">
        <v>5924.4660000000003</v>
      </c>
      <c r="F507" s="89">
        <v>4443.3495000000003</v>
      </c>
      <c r="G507" s="60">
        <v>1481.1165000000001</v>
      </c>
      <c r="H507" s="91">
        <v>0.25</v>
      </c>
      <c r="I507" s="86" t="s">
        <v>18</v>
      </c>
      <c r="J507" s="86" t="s">
        <v>24</v>
      </c>
      <c r="K507" s="137">
        <v>46178</v>
      </c>
      <c r="L507" s="137">
        <v>46234</v>
      </c>
      <c r="M507" s="68" t="s">
        <v>736</v>
      </c>
    </row>
    <row r="508" spans="1:13">
      <c r="A508" s="87">
        <v>663149</v>
      </c>
      <c r="B508" s="88">
        <v>931</v>
      </c>
      <c r="C508" s="87">
        <v>7793359000335</v>
      </c>
      <c r="D508" s="88" t="s">
        <v>1224</v>
      </c>
      <c r="E508" s="89">
        <v>18870.009999999998</v>
      </c>
      <c r="F508" s="89">
        <v>14152.5075</v>
      </c>
      <c r="G508" s="60">
        <v>4717.5024999999987</v>
      </c>
      <c r="H508" s="91">
        <v>0.25</v>
      </c>
      <c r="I508" s="86" t="s">
        <v>18</v>
      </c>
      <c r="J508" s="86" t="s">
        <v>24</v>
      </c>
      <c r="K508" s="137">
        <v>46178</v>
      </c>
      <c r="L508" s="137">
        <v>46234</v>
      </c>
      <c r="M508" s="68" t="s">
        <v>736</v>
      </c>
    </row>
    <row r="509" spans="1:13">
      <c r="A509" s="144">
        <v>18433</v>
      </c>
      <c r="B509" s="138">
        <v>76096</v>
      </c>
      <c r="C509" s="144">
        <v>7793440002880</v>
      </c>
      <c r="D509" s="138" t="s">
        <v>783</v>
      </c>
      <c r="E509" s="142">
        <v>26249.119999999999</v>
      </c>
      <c r="F509" s="142">
        <v>23624.207999999999</v>
      </c>
      <c r="G509" s="143">
        <v>2624.9120000000003</v>
      </c>
      <c r="H509" s="149">
        <v>0.1</v>
      </c>
      <c r="I509" s="147" t="s">
        <v>18</v>
      </c>
      <c r="J509" s="147" t="s">
        <v>23</v>
      </c>
      <c r="K509" s="148">
        <v>46206</v>
      </c>
      <c r="L509" s="148">
        <v>46234</v>
      </c>
      <c r="M509" s="68" t="s">
        <v>736</v>
      </c>
    </row>
    <row r="510" spans="1:13">
      <c r="A510" s="144">
        <v>13326</v>
      </c>
      <c r="B510" s="138">
        <v>76093</v>
      </c>
      <c r="C510" s="144">
        <v>7793440702698</v>
      </c>
      <c r="D510" s="138" t="s">
        <v>784</v>
      </c>
      <c r="E510" s="142">
        <v>18191.47</v>
      </c>
      <c r="F510" s="142">
        <v>16372.323000000002</v>
      </c>
      <c r="G510" s="143">
        <v>1819.146999999999</v>
      </c>
      <c r="H510" s="149">
        <v>0.1</v>
      </c>
      <c r="I510" s="147" t="s">
        <v>18</v>
      </c>
      <c r="J510" s="147" t="s">
        <v>23</v>
      </c>
      <c r="K510" s="148">
        <v>46206</v>
      </c>
      <c r="L510" s="148">
        <v>46234</v>
      </c>
      <c r="M510" s="68" t="s">
        <v>736</v>
      </c>
    </row>
    <row r="511" spans="1:13">
      <c r="A511" s="87">
        <v>662249</v>
      </c>
      <c r="B511" s="88">
        <v>25769</v>
      </c>
      <c r="C511" s="87">
        <v>7790717153849</v>
      </c>
      <c r="D511" s="88" t="s">
        <v>1070</v>
      </c>
      <c r="E511" s="89">
        <v>7056.6809999999996</v>
      </c>
      <c r="F511" s="89">
        <v>5645.3447999999999</v>
      </c>
      <c r="G511" s="60">
        <v>1411.3361999999997</v>
      </c>
      <c r="H511" s="91">
        <v>0.2</v>
      </c>
      <c r="I511" s="86" t="s">
        <v>18</v>
      </c>
      <c r="J511" s="86" t="s">
        <v>75</v>
      </c>
      <c r="K511" s="137">
        <v>46178</v>
      </c>
      <c r="L511" s="137">
        <v>46234</v>
      </c>
      <c r="M511" s="68" t="s">
        <v>736</v>
      </c>
    </row>
    <row r="512" spans="1:13">
      <c r="A512" s="87">
        <v>662196</v>
      </c>
      <c r="B512" s="88">
        <v>22456</v>
      </c>
      <c r="C512" s="87">
        <v>7790717151081</v>
      </c>
      <c r="D512" s="88" t="s">
        <v>1071</v>
      </c>
      <c r="E512" s="89">
        <v>7056.6809999999996</v>
      </c>
      <c r="F512" s="89">
        <v>5645.3447999999999</v>
      </c>
      <c r="G512" s="60">
        <v>1411.3361999999997</v>
      </c>
      <c r="H512" s="91">
        <v>0.2</v>
      </c>
      <c r="I512" s="86" t="s">
        <v>18</v>
      </c>
      <c r="J512" s="86" t="s">
        <v>75</v>
      </c>
      <c r="K512" s="137">
        <v>46178</v>
      </c>
      <c r="L512" s="137">
        <v>46234</v>
      </c>
      <c r="M512" s="68" t="s">
        <v>736</v>
      </c>
    </row>
    <row r="513" spans="1:13">
      <c r="A513" s="87">
        <v>6749</v>
      </c>
      <c r="B513" s="88">
        <v>22478</v>
      </c>
      <c r="C513" s="87">
        <v>7790717151074</v>
      </c>
      <c r="D513" s="88" t="s">
        <v>1072</v>
      </c>
      <c r="E513" s="89">
        <v>7056.6809999999996</v>
      </c>
      <c r="F513" s="89">
        <v>5645.3447999999999</v>
      </c>
      <c r="G513" s="60">
        <v>1411.3361999999997</v>
      </c>
      <c r="H513" s="91">
        <v>0.2</v>
      </c>
      <c r="I513" s="86" t="s">
        <v>18</v>
      </c>
      <c r="J513" s="86" t="s">
        <v>75</v>
      </c>
      <c r="K513" s="137">
        <v>46178</v>
      </c>
      <c r="L513" s="137">
        <v>46234</v>
      </c>
      <c r="M513" s="68" t="s">
        <v>736</v>
      </c>
    </row>
    <row r="514" spans="1:13">
      <c r="A514" s="87">
        <v>13535</v>
      </c>
      <c r="B514" s="88">
        <v>22457</v>
      </c>
      <c r="C514" s="87">
        <v>7790717151104</v>
      </c>
      <c r="D514" s="88" t="s">
        <v>1073</v>
      </c>
      <c r="E514" s="89">
        <v>7056.6809999999996</v>
      </c>
      <c r="F514" s="89">
        <v>5645.3447999999999</v>
      </c>
      <c r="G514" s="60">
        <v>1411.3361999999997</v>
      </c>
      <c r="H514" s="91">
        <v>0.2</v>
      </c>
      <c r="I514" s="86" t="s">
        <v>18</v>
      </c>
      <c r="J514" s="86" t="s">
        <v>75</v>
      </c>
      <c r="K514" s="137">
        <v>46178</v>
      </c>
      <c r="L514" s="137">
        <v>46234</v>
      </c>
      <c r="M514" s="68" t="s">
        <v>736</v>
      </c>
    </row>
    <row r="515" spans="1:13">
      <c r="A515" s="87">
        <v>661745</v>
      </c>
      <c r="B515" s="88">
        <v>25772</v>
      </c>
      <c r="C515" s="87">
        <v>7790717153856</v>
      </c>
      <c r="D515" s="88" t="s">
        <v>1074</v>
      </c>
      <c r="E515" s="89">
        <v>14206.17</v>
      </c>
      <c r="F515" s="89">
        <v>11364.936000000002</v>
      </c>
      <c r="G515" s="60">
        <v>2841.2339999999986</v>
      </c>
      <c r="H515" s="91">
        <v>0.2</v>
      </c>
      <c r="I515" s="86" t="s">
        <v>18</v>
      </c>
      <c r="J515" s="86" t="s">
        <v>75</v>
      </c>
      <c r="K515" s="137">
        <v>46178</v>
      </c>
      <c r="L515" s="137">
        <v>46234</v>
      </c>
      <c r="M515" s="68" t="s">
        <v>736</v>
      </c>
    </row>
    <row r="516" spans="1:13">
      <c r="A516" s="87">
        <v>661744</v>
      </c>
      <c r="B516" s="88">
        <v>25771</v>
      </c>
      <c r="C516" s="87">
        <v>7790717153863</v>
      </c>
      <c r="D516" s="88" t="s">
        <v>1075</v>
      </c>
      <c r="E516" s="89">
        <v>14206.17</v>
      </c>
      <c r="F516" s="89">
        <v>11364.936000000002</v>
      </c>
      <c r="G516" s="60">
        <v>2841.2339999999986</v>
      </c>
      <c r="H516" s="91">
        <v>0.2</v>
      </c>
      <c r="I516" s="86" t="s">
        <v>18</v>
      </c>
      <c r="J516" s="86" t="s">
        <v>75</v>
      </c>
      <c r="K516" s="137">
        <v>46178</v>
      </c>
      <c r="L516" s="137">
        <v>46234</v>
      </c>
      <c r="M516" s="68" t="s">
        <v>736</v>
      </c>
    </row>
    <row r="517" spans="1:13">
      <c r="A517" s="87">
        <v>6809</v>
      </c>
      <c r="B517" s="88">
        <v>22459</v>
      </c>
      <c r="C517" s="87">
        <v>7790717151135</v>
      </c>
      <c r="D517" s="88" t="s">
        <v>1076</v>
      </c>
      <c r="E517" s="89">
        <v>7056.6809999999996</v>
      </c>
      <c r="F517" s="89">
        <v>5645.3447999999999</v>
      </c>
      <c r="G517" s="60">
        <v>1411.3361999999997</v>
      </c>
      <c r="H517" s="91">
        <v>0.2</v>
      </c>
      <c r="I517" s="86" t="s">
        <v>18</v>
      </c>
      <c r="J517" s="86" t="s">
        <v>75</v>
      </c>
      <c r="K517" s="137">
        <v>46178</v>
      </c>
      <c r="L517" s="137">
        <v>46234</v>
      </c>
      <c r="M517" s="68" t="s">
        <v>736</v>
      </c>
    </row>
    <row r="518" spans="1:13">
      <c r="A518" s="87">
        <v>661742</v>
      </c>
      <c r="B518" s="88">
        <v>22463</v>
      </c>
      <c r="C518" s="87">
        <v>7790717001218</v>
      </c>
      <c r="D518" s="88" t="s">
        <v>1077</v>
      </c>
      <c r="E518" s="89">
        <v>14206.17</v>
      </c>
      <c r="F518" s="89">
        <v>11364.936000000002</v>
      </c>
      <c r="G518" s="60">
        <v>2841.2339999999986</v>
      </c>
      <c r="H518" s="91">
        <v>0.2</v>
      </c>
      <c r="I518" s="86" t="s">
        <v>18</v>
      </c>
      <c r="J518" s="86" t="s">
        <v>75</v>
      </c>
      <c r="K518" s="137">
        <v>46178</v>
      </c>
      <c r="L518" s="137">
        <v>46234</v>
      </c>
      <c r="M518" s="68" t="s">
        <v>736</v>
      </c>
    </row>
    <row r="519" spans="1:13">
      <c r="A519" s="87">
        <v>14663</v>
      </c>
      <c r="B519" s="88">
        <v>74393</v>
      </c>
      <c r="C519" s="87">
        <v>7791540144509</v>
      </c>
      <c r="D519" s="88" t="s">
        <v>785</v>
      </c>
      <c r="E519" s="89">
        <v>5710.25</v>
      </c>
      <c r="F519" s="89">
        <v>5139.2250000000004</v>
      </c>
      <c r="G519" s="60">
        <v>571.02499999999964</v>
      </c>
      <c r="H519" s="91">
        <v>0.1</v>
      </c>
      <c r="I519" s="86" t="s">
        <v>18</v>
      </c>
      <c r="J519" s="86" t="s">
        <v>23</v>
      </c>
      <c r="K519" s="137">
        <v>46178</v>
      </c>
      <c r="L519" s="137">
        <v>46234</v>
      </c>
      <c r="M519" s="68" t="s">
        <v>736</v>
      </c>
    </row>
    <row r="520" spans="1:13">
      <c r="A520" s="87">
        <v>15161</v>
      </c>
      <c r="B520" s="88">
        <v>74395</v>
      </c>
      <c r="C520" s="87">
        <v>7791540144516</v>
      </c>
      <c r="D520" s="88" t="s">
        <v>786</v>
      </c>
      <c r="E520" s="89">
        <v>5710.25</v>
      </c>
      <c r="F520" s="89">
        <v>5139.2250000000004</v>
      </c>
      <c r="G520" s="60">
        <v>571.02499999999964</v>
      </c>
      <c r="H520" s="91">
        <v>0.1</v>
      </c>
      <c r="I520" s="86" t="s">
        <v>18</v>
      </c>
      <c r="J520" s="86" t="s">
        <v>23</v>
      </c>
      <c r="K520" s="137">
        <v>46178</v>
      </c>
      <c r="L520" s="137">
        <v>46234</v>
      </c>
      <c r="M520" s="68" t="s">
        <v>736</v>
      </c>
    </row>
    <row r="521" spans="1:13">
      <c r="A521" s="87">
        <v>13604</v>
      </c>
      <c r="B521" s="88">
        <v>74394</v>
      </c>
      <c r="C521" s="87">
        <v>7791540144523</v>
      </c>
      <c r="D521" s="88" t="s">
        <v>787</v>
      </c>
      <c r="E521" s="89">
        <v>5710.25</v>
      </c>
      <c r="F521" s="89">
        <v>5139.2250000000004</v>
      </c>
      <c r="G521" s="60">
        <v>571.02499999999964</v>
      </c>
      <c r="H521" s="91">
        <v>0.1</v>
      </c>
      <c r="I521" s="86" t="s">
        <v>18</v>
      </c>
      <c r="J521" s="86" t="s">
        <v>23</v>
      </c>
      <c r="K521" s="137">
        <v>46178</v>
      </c>
      <c r="L521" s="137">
        <v>46234</v>
      </c>
      <c r="M521" s="68" t="s">
        <v>736</v>
      </c>
    </row>
    <row r="522" spans="1:13">
      <c r="A522" s="87">
        <v>663949</v>
      </c>
      <c r="B522" s="88">
        <v>1296</v>
      </c>
      <c r="C522" s="87">
        <v>7790470085142</v>
      </c>
      <c r="D522" s="88" t="s">
        <v>1277</v>
      </c>
      <c r="E522" s="89">
        <v>68348.308000000005</v>
      </c>
      <c r="F522" s="89">
        <v>34174.154000000002</v>
      </c>
      <c r="G522" s="60">
        <v>34174.154000000002</v>
      </c>
      <c r="H522" s="141">
        <v>0.5</v>
      </c>
      <c r="I522" s="86" t="s">
        <v>15</v>
      </c>
      <c r="J522" s="86" t="s">
        <v>640</v>
      </c>
      <c r="K522" s="137">
        <v>46178</v>
      </c>
      <c r="L522" s="137">
        <v>46234</v>
      </c>
      <c r="M522" s="68" t="s">
        <v>736</v>
      </c>
    </row>
    <row r="523" spans="1:13">
      <c r="A523" s="87">
        <v>660854</v>
      </c>
      <c r="B523" s="88">
        <v>76129</v>
      </c>
      <c r="C523" s="87">
        <v>7790314071508</v>
      </c>
      <c r="D523" s="88" t="s">
        <v>1225</v>
      </c>
      <c r="E523" s="89">
        <v>13829.39</v>
      </c>
      <c r="F523" s="89">
        <v>10372.0425</v>
      </c>
      <c r="G523" s="60">
        <v>3457.3474999999999</v>
      </c>
      <c r="H523" s="91">
        <v>0.25</v>
      </c>
      <c r="I523" s="86" t="s">
        <v>18</v>
      </c>
      <c r="J523" s="86" t="s">
        <v>24</v>
      </c>
      <c r="K523" s="137">
        <v>46178</v>
      </c>
      <c r="L523" s="137">
        <v>46234</v>
      </c>
      <c r="M523" s="68" t="s">
        <v>736</v>
      </c>
    </row>
    <row r="524" spans="1:13">
      <c r="A524" s="87">
        <v>660855</v>
      </c>
      <c r="B524" s="88">
        <v>76127</v>
      </c>
      <c r="C524" s="87">
        <v>7790314071485</v>
      </c>
      <c r="D524" s="88" t="s">
        <v>1226</v>
      </c>
      <c r="E524" s="89">
        <v>13829.39</v>
      </c>
      <c r="F524" s="89">
        <v>10372.0425</v>
      </c>
      <c r="G524" s="60">
        <v>3457.3474999999999</v>
      </c>
      <c r="H524" s="91">
        <v>0.25</v>
      </c>
      <c r="I524" s="86" t="s">
        <v>18</v>
      </c>
      <c r="J524" s="86" t="s">
        <v>24</v>
      </c>
      <c r="K524" s="137">
        <v>46178</v>
      </c>
      <c r="L524" s="137">
        <v>46234</v>
      </c>
      <c r="M524" s="68" t="s">
        <v>736</v>
      </c>
    </row>
    <row r="525" spans="1:13">
      <c r="A525" s="87">
        <v>665658</v>
      </c>
      <c r="B525" s="88">
        <v>13908</v>
      </c>
      <c r="C525" s="87">
        <v>7790577043311</v>
      </c>
      <c r="D525" s="88" t="s">
        <v>788</v>
      </c>
      <c r="E525" s="89">
        <v>23127.5</v>
      </c>
      <c r="F525" s="89">
        <v>20814.75</v>
      </c>
      <c r="G525" s="60">
        <v>2312.75</v>
      </c>
      <c r="H525" s="91">
        <v>0.1</v>
      </c>
      <c r="I525" s="86" t="s">
        <v>18</v>
      </c>
      <c r="J525" s="86" t="s">
        <v>23</v>
      </c>
      <c r="K525" s="137">
        <v>46178</v>
      </c>
      <c r="L525" s="137">
        <v>46234</v>
      </c>
      <c r="M525" s="68" t="s">
        <v>736</v>
      </c>
    </row>
    <row r="526" spans="1:13">
      <c r="A526" s="87">
        <v>665586</v>
      </c>
      <c r="B526" s="88">
        <v>43834</v>
      </c>
      <c r="C526" s="87">
        <v>7790577043496</v>
      </c>
      <c r="D526" s="88" t="s">
        <v>789</v>
      </c>
      <c r="E526" s="89">
        <v>59851.51</v>
      </c>
      <c r="F526" s="89">
        <v>53866.359000000004</v>
      </c>
      <c r="G526" s="60">
        <v>5985.150999999998</v>
      </c>
      <c r="H526" s="91">
        <v>0.1</v>
      </c>
      <c r="I526" s="86" t="s">
        <v>18</v>
      </c>
      <c r="J526" s="86" t="s">
        <v>23</v>
      </c>
      <c r="K526" s="137">
        <v>46178</v>
      </c>
      <c r="L526" s="137">
        <v>46234</v>
      </c>
      <c r="M526" s="68" t="s">
        <v>736</v>
      </c>
    </row>
    <row r="527" spans="1:13">
      <c r="A527" s="87">
        <v>8799</v>
      </c>
      <c r="B527" s="88">
        <v>42373</v>
      </c>
      <c r="C527" s="87">
        <v>7790189000375</v>
      </c>
      <c r="D527" s="88" t="s">
        <v>790</v>
      </c>
      <c r="E527" s="89">
        <v>7872.2420000000002</v>
      </c>
      <c r="F527" s="89">
        <v>7085.0178000000005</v>
      </c>
      <c r="G527" s="60">
        <v>787.22419999999966</v>
      </c>
      <c r="H527" s="91">
        <v>0.1</v>
      </c>
      <c r="I527" s="86" t="s">
        <v>18</v>
      </c>
      <c r="J527" s="86" t="s">
        <v>23</v>
      </c>
      <c r="K527" s="137">
        <v>46178</v>
      </c>
      <c r="L527" s="137">
        <v>46234</v>
      </c>
      <c r="M527" s="68" t="s">
        <v>736</v>
      </c>
    </row>
    <row r="528" spans="1:13">
      <c r="A528" s="87">
        <v>13677</v>
      </c>
      <c r="B528" s="88">
        <v>42374</v>
      </c>
      <c r="C528" s="87">
        <v>7790189000191</v>
      </c>
      <c r="D528" s="88" t="s">
        <v>791</v>
      </c>
      <c r="E528" s="89">
        <v>7872.2420000000002</v>
      </c>
      <c r="F528" s="89">
        <v>7085.0178000000005</v>
      </c>
      <c r="G528" s="60">
        <v>787.22419999999966</v>
      </c>
      <c r="H528" s="91">
        <v>0.1</v>
      </c>
      <c r="I528" s="86" t="s">
        <v>18</v>
      </c>
      <c r="J528" s="86" t="s">
        <v>23</v>
      </c>
      <c r="K528" s="137">
        <v>46178</v>
      </c>
      <c r="L528" s="137">
        <v>46234</v>
      </c>
      <c r="M528" s="68" t="s">
        <v>736</v>
      </c>
    </row>
    <row r="529" spans="1:13">
      <c r="A529" s="87">
        <v>665944</v>
      </c>
      <c r="B529" s="88">
        <v>944</v>
      </c>
      <c r="C529" s="87">
        <v>7798152262089</v>
      </c>
      <c r="D529" s="88" t="s">
        <v>792</v>
      </c>
      <c r="E529" s="89">
        <v>12281.5</v>
      </c>
      <c r="F529" s="89">
        <v>11053.35</v>
      </c>
      <c r="G529" s="60">
        <v>1228.1499999999996</v>
      </c>
      <c r="H529" s="91">
        <v>0.1</v>
      </c>
      <c r="I529" s="86" t="s">
        <v>18</v>
      </c>
      <c r="J529" s="86" t="s">
        <v>23</v>
      </c>
      <c r="K529" s="137">
        <v>46178</v>
      </c>
      <c r="L529" s="137">
        <v>46234</v>
      </c>
      <c r="M529" s="68" t="s">
        <v>736</v>
      </c>
    </row>
    <row r="530" spans="1:13">
      <c r="A530" s="87">
        <v>662312</v>
      </c>
      <c r="B530" s="88">
        <v>312</v>
      </c>
      <c r="C530" s="87">
        <v>7798152260948</v>
      </c>
      <c r="D530" s="88" t="s">
        <v>793</v>
      </c>
      <c r="E530" s="89">
        <v>12281.5</v>
      </c>
      <c r="F530" s="89">
        <v>11053.35</v>
      </c>
      <c r="G530" s="60">
        <v>1228.1499999999996</v>
      </c>
      <c r="H530" s="91">
        <v>0.1</v>
      </c>
      <c r="I530" s="86" t="s">
        <v>18</v>
      </c>
      <c r="J530" s="86" t="s">
        <v>23</v>
      </c>
      <c r="K530" s="137">
        <v>46178</v>
      </c>
      <c r="L530" s="137">
        <v>46234</v>
      </c>
      <c r="M530" s="68" t="s">
        <v>736</v>
      </c>
    </row>
    <row r="531" spans="1:13">
      <c r="A531" s="87">
        <v>662313</v>
      </c>
      <c r="B531" s="88">
        <v>313</v>
      </c>
      <c r="C531" s="87">
        <v>7798152260351</v>
      </c>
      <c r="D531" s="88" t="s">
        <v>794</v>
      </c>
      <c r="E531" s="89">
        <v>12281.5</v>
      </c>
      <c r="F531" s="89">
        <v>11053.35</v>
      </c>
      <c r="G531" s="60">
        <v>1228.1499999999996</v>
      </c>
      <c r="H531" s="91">
        <v>0.1</v>
      </c>
      <c r="I531" s="86" t="s">
        <v>18</v>
      </c>
      <c r="J531" s="86" t="s">
        <v>23</v>
      </c>
      <c r="K531" s="137">
        <v>46178</v>
      </c>
      <c r="L531" s="137">
        <v>46234</v>
      </c>
      <c r="M531" s="68" t="s">
        <v>736</v>
      </c>
    </row>
    <row r="532" spans="1:13">
      <c r="A532" s="87">
        <v>662528</v>
      </c>
      <c r="B532" s="88">
        <v>528</v>
      </c>
      <c r="C532" s="87">
        <v>7798152262362</v>
      </c>
      <c r="D532" s="88" t="s">
        <v>795</v>
      </c>
      <c r="E532" s="89">
        <v>15495.74</v>
      </c>
      <c r="F532" s="89">
        <v>13946.165999999999</v>
      </c>
      <c r="G532" s="60">
        <v>1549.5740000000005</v>
      </c>
      <c r="H532" s="91">
        <v>0.1</v>
      </c>
      <c r="I532" s="86" t="s">
        <v>18</v>
      </c>
      <c r="J532" s="86" t="s">
        <v>23</v>
      </c>
      <c r="K532" s="137">
        <v>46178</v>
      </c>
      <c r="L532" s="137">
        <v>46234</v>
      </c>
      <c r="M532" s="68" t="s">
        <v>736</v>
      </c>
    </row>
    <row r="533" spans="1:13">
      <c r="A533" s="87">
        <v>666700</v>
      </c>
      <c r="B533" s="88">
        <v>0</v>
      </c>
      <c r="C533" s="87">
        <v>7798152261280</v>
      </c>
      <c r="D533" s="88" t="s">
        <v>796</v>
      </c>
      <c r="E533" s="89">
        <v>86709.99</v>
      </c>
      <c r="F533" s="89">
        <v>78038.991000000009</v>
      </c>
      <c r="G533" s="60">
        <v>8670.9989999999962</v>
      </c>
      <c r="H533" s="91">
        <v>0.1</v>
      </c>
      <c r="I533" s="86" t="s">
        <v>18</v>
      </c>
      <c r="J533" s="86" t="s">
        <v>23</v>
      </c>
      <c r="K533" s="137">
        <v>46178</v>
      </c>
      <c r="L533" s="137">
        <v>46234</v>
      </c>
      <c r="M533" s="68" t="s">
        <v>736</v>
      </c>
    </row>
    <row r="534" spans="1:13">
      <c r="A534" s="87">
        <v>665579</v>
      </c>
      <c r="B534" s="88">
        <v>579</v>
      </c>
      <c r="C534" s="87">
        <v>7798152260863</v>
      </c>
      <c r="D534" s="88" t="s">
        <v>797</v>
      </c>
      <c r="E534" s="89">
        <v>20536.14</v>
      </c>
      <c r="F534" s="89">
        <v>18482.526000000002</v>
      </c>
      <c r="G534" s="60">
        <v>2053.6139999999978</v>
      </c>
      <c r="H534" s="91">
        <v>0.1</v>
      </c>
      <c r="I534" s="86" t="s">
        <v>18</v>
      </c>
      <c r="J534" s="86" t="s">
        <v>23</v>
      </c>
      <c r="K534" s="137">
        <v>46178</v>
      </c>
      <c r="L534" s="137">
        <v>46234</v>
      </c>
      <c r="M534" s="68" t="s">
        <v>736</v>
      </c>
    </row>
    <row r="535" spans="1:13">
      <c r="A535" s="87">
        <v>662316</v>
      </c>
      <c r="B535" s="88">
        <v>316</v>
      </c>
      <c r="C535" s="87">
        <v>7798152260856</v>
      </c>
      <c r="D535" s="88" t="s">
        <v>798</v>
      </c>
      <c r="E535" s="89">
        <v>20527.650000000001</v>
      </c>
      <c r="F535" s="89">
        <v>18474.885000000002</v>
      </c>
      <c r="G535" s="60">
        <v>2052.7649999999994</v>
      </c>
      <c r="H535" s="91">
        <v>0.1</v>
      </c>
      <c r="I535" s="86" t="s">
        <v>18</v>
      </c>
      <c r="J535" s="86" t="s">
        <v>23</v>
      </c>
      <c r="K535" s="137">
        <v>46178</v>
      </c>
      <c r="L535" s="137">
        <v>46234</v>
      </c>
      <c r="M535" s="68" t="s">
        <v>736</v>
      </c>
    </row>
    <row r="536" spans="1:13">
      <c r="A536" s="87">
        <v>662317</v>
      </c>
      <c r="B536" s="88">
        <v>317</v>
      </c>
      <c r="C536" s="87">
        <v>7798152260832</v>
      </c>
      <c r="D536" s="88" t="s">
        <v>799</v>
      </c>
      <c r="E536" s="89">
        <v>20527.650000000001</v>
      </c>
      <c r="F536" s="89">
        <v>18474.885000000002</v>
      </c>
      <c r="G536" s="60">
        <v>2052.7649999999994</v>
      </c>
      <c r="H536" s="91">
        <v>0.1</v>
      </c>
      <c r="I536" s="86" t="s">
        <v>18</v>
      </c>
      <c r="J536" s="86" t="s">
        <v>23</v>
      </c>
      <c r="K536" s="137">
        <v>46178</v>
      </c>
      <c r="L536" s="137">
        <v>46234</v>
      </c>
      <c r="M536" s="68" t="s">
        <v>736</v>
      </c>
    </row>
    <row r="537" spans="1:13">
      <c r="A537" s="87">
        <v>662315</v>
      </c>
      <c r="B537" s="88">
        <v>315</v>
      </c>
      <c r="C537" s="87">
        <v>7798152260115</v>
      </c>
      <c r="D537" s="88" t="s">
        <v>800</v>
      </c>
      <c r="E537" s="89">
        <v>20527.650000000001</v>
      </c>
      <c r="F537" s="89">
        <v>18474.885000000002</v>
      </c>
      <c r="G537" s="60">
        <v>2052.7649999999994</v>
      </c>
      <c r="H537" s="91">
        <v>0.1</v>
      </c>
      <c r="I537" s="86" t="s">
        <v>18</v>
      </c>
      <c r="J537" s="86" t="s">
        <v>23</v>
      </c>
      <c r="K537" s="137">
        <v>46178</v>
      </c>
      <c r="L537" s="137">
        <v>46234</v>
      </c>
      <c r="M537" s="68" t="s">
        <v>736</v>
      </c>
    </row>
    <row r="538" spans="1:13">
      <c r="A538" s="87">
        <v>666698</v>
      </c>
      <c r="B538" s="88">
        <v>0</v>
      </c>
      <c r="C538" s="87">
        <v>7798152260894</v>
      </c>
      <c r="D538" s="88" t="s">
        <v>801</v>
      </c>
      <c r="E538" s="89">
        <v>194300</v>
      </c>
      <c r="F538" s="89">
        <v>174870</v>
      </c>
      <c r="G538" s="60">
        <v>19430</v>
      </c>
      <c r="H538" s="91">
        <v>0.1</v>
      </c>
      <c r="I538" s="86" t="s">
        <v>18</v>
      </c>
      <c r="J538" s="86" t="s">
        <v>23</v>
      </c>
      <c r="K538" s="137">
        <v>46178</v>
      </c>
      <c r="L538" s="137">
        <v>46234</v>
      </c>
      <c r="M538" s="68" t="s">
        <v>736</v>
      </c>
    </row>
    <row r="539" spans="1:13">
      <c r="A539" s="87">
        <v>13440</v>
      </c>
      <c r="B539" s="88">
        <v>2306</v>
      </c>
      <c r="C539" s="87">
        <v>7794450001696</v>
      </c>
      <c r="D539" s="88" t="s">
        <v>802</v>
      </c>
      <c r="E539" s="89">
        <v>38478</v>
      </c>
      <c r="F539" s="89">
        <v>34630.200000000004</v>
      </c>
      <c r="G539" s="60">
        <v>3847.7999999999956</v>
      </c>
      <c r="H539" s="91">
        <v>0.1</v>
      </c>
      <c r="I539" s="86" t="s">
        <v>18</v>
      </c>
      <c r="J539" s="86" t="s">
        <v>23</v>
      </c>
      <c r="K539" s="137">
        <v>46178</v>
      </c>
      <c r="L539" s="137">
        <v>46234</v>
      </c>
      <c r="M539" s="68" t="s">
        <v>736</v>
      </c>
    </row>
    <row r="540" spans="1:13">
      <c r="A540" s="87">
        <v>13439</v>
      </c>
      <c r="B540" s="88" t="s">
        <v>803</v>
      </c>
      <c r="C540" s="87">
        <v>7794450090515</v>
      </c>
      <c r="D540" s="88" t="s">
        <v>804</v>
      </c>
      <c r="E540" s="89">
        <v>23085</v>
      </c>
      <c r="F540" s="89">
        <v>20776.5</v>
      </c>
      <c r="G540" s="60">
        <v>2308.5</v>
      </c>
      <c r="H540" s="91">
        <v>0.1</v>
      </c>
      <c r="I540" s="86" t="s">
        <v>18</v>
      </c>
      <c r="J540" s="86" t="s">
        <v>23</v>
      </c>
      <c r="K540" s="137">
        <v>46178</v>
      </c>
      <c r="L540" s="137">
        <v>46234</v>
      </c>
      <c r="M540" s="68" t="s">
        <v>736</v>
      </c>
    </row>
    <row r="541" spans="1:13">
      <c r="A541" s="152">
        <v>10236</v>
      </c>
      <c r="B541" s="153">
        <v>12377</v>
      </c>
      <c r="C541" s="152">
        <v>7798141877379</v>
      </c>
      <c r="D541" s="153" t="s">
        <v>1329</v>
      </c>
      <c r="E541" s="154">
        <v>6126.5119999999997</v>
      </c>
      <c r="F541" s="154">
        <v>4594.884</v>
      </c>
      <c r="G541" s="143">
        <v>1424.7707499999997</v>
      </c>
      <c r="H541" s="155">
        <v>0.25</v>
      </c>
      <c r="I541" s="156" t="s">
        <v>18</v>
      </c>
      <c r="J541" s="156" t="s">
        <v>24</v>
      </c>
      <c r="K541" s="148">
        <v>46206</v>
      </c>
      <c r="L541" s="157">
        <v>46234</v>
      </c>
      <c r="M541" s="68" t="s">
        <v>736</v>
      </c>
    </row>
    <row r="542" spans="1:13">
      <c r="A542" s="152">
        <v>6804</v>
      </c>
      <c r="B542" s="153">
        <v>12397</v>
      </c>
      <c r="C542" s="152">
        <v>7798141877638</v>
      </c>
      <c r="D542" s="153" t="s">
        <v>1330</v>
      </c>
      <c r="E542" s="154">
        <v>6126.5119999999997</v>
      </c>
      <c r="F542" s="154">
        <v>4594.884</v>
      </c>
      <c r="G542" s="143">
        <v>1424.7707499999997</v>
      </c>
      <c r="H542" s="155">
        <v>0.25</v>
      </c>
      <c r="I542" s="156" t="s">
        <v>18</v>
      </c>
      <c r="J542" s="156" t="s">
        <v>24</v>
      </c>
      <c r="K542" s="148">
        <v>46206</v>
      </c>
      <c r="L542" s="157">
        <v>46234</v>
      </c>
      <c r="M542" s="68" t="s">
        <v>736</v>
      </c>
    </row>
    <row r="543" spans="1:13">
      <c r="A543" s="152">
        <v>2276</v>
      </c>
      <c r="B543" s="153">
        <v>12375</v>
      </c>
      <c r="C543" s="152">
        <v>7798141877393</v>
      </c>
      <c r="D543" s="153" t="s">
        <v>1331</v>
      </c>
      <c r="E543" s="154">
        <v>6840.63</v>
      </c>
      <c r="F543" s="154">
        <v>5130.4724999999999</v>
      </c>
      <c r="G543" s="143">
        <v>1582.2752499999997</v>
      </c>
      <c r="H543" s="155">
        <v>0.25</v>
      </c>
      <c r="I543" s="156" t="s">
        <v>18</v>
      </c>
      <c r="J543" s="156" t="s">
        <v>24</v>
      </c>
      <c r="K543" s="148">
        <v>46206</v>
      </c>
      <c r="L543" s="157">
        <v>46234</v>
      </c>
      <c r="M543" s="68" t="s">
        <v>736</v>
      </c>
    </row>
    <row r="544" spans="1:13">
      <c r="A544" s="152">
        <v>1108</v>
      </c>
      <c r="B544" s="153">
        <v>12388</v>
      </c>
      <c r="C544" s="152">
        <v>7798141877560</v>
      </c>
      <c r="D544" s="153" t="s">
        <v>1332</v>
      </c>
      <c r="E544" s="154">
        <v>6840.63</v>
      </c>
      <c r="F544" s="154">
        <v>5130.4724999999999</v>
      </c>
      <c r="G544" s="143">
        <v>1582.2752499999997</v>
      </c>
      <c r="H544" s="155">
        <v>0.25</v>
      </c>
      <c r="I544" s="156" t="s">
        <v>18</v>
      </c>
      <c r="J544" s="156" t="s">
        <v>24</v>
      </c>
      <c r="K544" s="148">
        <v>46206</v>
      </c>
      <c r="L544" s="157">
        <v>46234</v>
      </c>
      <c r="M544" s="68" t="s">
        <v>736</v>
      </c>
    </row>
    <row r="545" spans="1:13">
      <c r="A545" s="152">
        <v>7816</v>
      </c>
      <c r="B545" s="153">
        <v>12374</v>
      </c>
      <c r="C545" s="152">
        <v>7798141877386</v>
      </c>
      <c r="D545" s="153" t="s">
        <v>1333</v>
      </c>
      <c r="E545" s="154">
        <v>6840.63</v>
      </c>
      <c r="F545" s="154">
        <v>5130.4724999999999</v>
      </c>
      <c r="G545" s="143">
        <v>1582.2752499999997</v>
      </c>
      <c r="H545" s="155">
        <v>0.25</v>
      </c>
      <c r="I545" s="156" t="s">
        <v>18</v>
      </c>
      <c r="J545" s="156" t="s">
        <v>24</v>
      </c>
      <c r="K545" s="148">
        <v>46206</v>
      </c>
      <c r="L545" s="157">
        <v>46234</v>
      </c>
      <c r="M545" s="68" t="s">
        <v>736</v>
      </c>
    </row>
    <row r="546" spans="1:13">
      <c r="A546" s="152">
        <v>6805</v>
      </c>
      <c r="B546" s="153">
        <v>12376</v>
      </c>
      <c r="C546" s="152">
        <v>7798141877362</v>
      </c>
      <c r="D546" s="153" t="s">
        <v>1334</v>
      </c>
      <c r="E546" s="154">
        <v>6126.5119999999997</v>
      </c>
      <c r="F546" s="154">
        <v>4594.884</v>
      </c>
      <c r="G546" s="143">
        <v>1424.7707499999997</v>
      </c>
      <c r="H546" s="155">
        <v>0.25</v>
      </c>
      <c r="I546" s="156" t="s">
        <v>18</v>
      </c>
      <c r="J546" s="156" t="s">
        <v>24</v>
      </c>
      <c r="K546" s="148">
        <v>46206</v>
      </c>
      <c r="L546" s="157">
        <v>46234</v>
      </c>
      <c r="M546" s="68" t="s">
        <v>736</v>
      </c>
    </row>
    <row r="547" spans="1:13">
      <c r="A547" s="87">
        <v>1947</v>
      </c>
      <c r="B547" s="88">
        <v>535</v>
      </c>
      <c r="C547" s="87">
        <v>7790415129085</v>
      </c>
      <c r="D547" s="88" t="s">
        <v>1078</v>
      </c>
      <c r="E547" s="89">
        <v>12089.1</v>
      </c>
      <c r="F547" s="89">
        <v>9671.2800000000007</v>
      </c>
      <c r="G547" s="60">
        <v>2417.8199999999997</v>
      </c>
      <c r="H547" s="91">
        <v>0.2</v>
      </c>
      <c r="I547" s="86" t="s">
        <v>18</v>
      </c>
      <c r="J547" s="86" t="s">
        <v>75</v>
      </c>
      <c r="K547" s="137">
        <v>46178</v>
      </c>
      <c r="L547" s="137">
        <v>46234</v>
      </c>
      <c r="M547" s="68" t="s">
        <v>736</v>
      </c>
    </row>
    <row r="548" spans="1:13">
      <c r="A548" s="87">
        <v>14074</v>
      </c>
      <c r="B548" s="88">
        <v>588</v>
      </c>
      <c r="C548" s="87">
        <v>7790415004610</v>
      </c>
      <c r="D548" s="88" t="s">
        <v>1079</v>
      </c>
      <c r="E548" s="89">
        <v>19065</v>
      </c>
      <c r="F548" s="89">
        <v>15252</v>
      </c>
      <c r="G548" s="60">
        <v>3813</v>
      </c>
      <c r="H548" s="91">
        <v>0.2</v>
      </c>
      <c r="I548" s="86" t="s">
        <v>18</v>
      </c>
      <c r="J548" s="86" t="s">
        <v>75</v>
      </c>
      <c r="K548" s="137">
        <v>46178</v>
      </c>
      <c r="L548" s="137">
        <v>46234</v>
      </c>
      <c r="M548" s="68" t="s">
        <v>736</v>
      </c>
    </row>
    <row r="549" spans="1:13">
      <c r="A549" s="87">
        <v>14073</v>
      </c>
      <c r="B549" s="88">
        <v>555</v>
      </c>
      <c r="C549" s="87">
        <v>7790415004351</v>
      </c>
      <c r="D549" s="88" t="s">
        <v>1080</v>
      </c>
      <c r="E549" s="89">
        <v>19065</v>
      </c>
      <c r="F549" s="89">
        <v>15252</v>
      </c>
      <c r="G549" s="60">
        <v>3813</v>
      </c>
      <c r="H549" s="91">
        <v>0.2</v>
      </c>
      <c r="I549" s="86" t="s">
        <v>18</v>
      </c>
      <c r="J549" s="86" t="s">
        <v>75</v>
      </c>
      <c r="K549" s="137">
        <v>46178</v>
      </c>
      <c r="L549" s="137">
        <v>46234</v>
      </c>
      <c r="M549" s="68" t="s">
        <v>736</v>
      </c>
    </row>
    <row r="550" spans="1:13">
      <c r="A550" s="87">
        <v>18144</v>
      </c>
      <c r="B550" s="88">
        <v>560</v>
      </c>
      <c r="C550" s="87">
        <v>7790415001916</v>
      </c>
      <c r="D550" s="88" t="s">
        <v>1081</v>
      </c>
      <c r="E550" s="89">
        <v>19065</v>
      </c>
      <c r="F550" s="89">
        <v>15252</v>
      </c>
      <c r="G550" s="60">
        <v>3813</v>
      </c>
      <c r="H550" s="91">
        <v>0.2</v>
      </c>
      <c r="I550" s="86" t="s">
        <v>18</v>
      </c>
      <c r="J550" s="86" t="s">
        <v>75</v>
      </c>
      <c r="K550" s="137">
        <v>46178</v>
      </c>
      <c r="L550" s="137">
        <v>46234</v>
      </c>
      <c r="M550" s="68" t="s">
        <v>736</v>
      </c>
    </row>
    <row r="551" spans="1:13">
      <c r="A551" s="87">
        <v>659685</v>
      </c>
      <c r="B551" s="88">
        <v>1700</v>
      </c>
      <c r="C551" s="87">
        <v>7790415131743</v>
      </c>
      <c r="D551" s="88" t="s">
        <v>1082</v>
      </c>
      <c r="E551" s="89">
        <v>19065</v>
      </c>
      <c r="F551" s="89">
        <v>15252</v>
      </c>
      <c r="G551" s="60">
        <v>3813</v>
      </c>
      <c r="H551" s="91">
        <v>0.2</v>
      </c>
      <c r="I551" s="86" t="s">
        <v>18</v>
      </c>
      <c r="J551" s="86" t="s">
        <v>75</v>
      </c>
      <c r="K551" s="137">
        <v>46178</v>
      </c>
      <c r="L551" s="137">
        <v>46234</v>
      </c>
      <c r="M551" s="68" t="s">
        <v>736</v>
      </c>
    </row>
    <row r="552" spans="1:13">
      <c r="A552" s="87">
        <v>662553</v>
      </c>
      <c r="B552" s="88">
        <v>576</v>
      </c>
      <c r="C552" s="87">
        <v>6625531111113</v>
      </c>
      <c r="D552" s="88" t="s">
        <v>1083</v>
      </c>
      <c r="E552" s="89">
        <v>12090</v>
      </c>
      <c r="F552" s="89">
        <v>9672</v>
      </c>
      <c r="G552" s="60">
        <v>2418</v>
      </c>
      <c r="H552" s="91">
        <v>0.2</v>
      </c>
      <c r="I552" s="86" t="s">
        <v>18</v>
      </c>
      <c r="J552" s="86" t="s">
        <v>75</v>
      </c>
      <c r="K552" s="137">
        <v>46178</v>
      </c>
      <c r="L552" s="137">
        <v>46234</v>
      </c>
      <c r="M552" s="68" t="s">
        <v>736</v>
      </c>
    </row>
    <row r="553" spans="1:13">
      <c r="A553" s="87">
        <v>663258</v>
      </c>
      <c r="B553" s="88">
        <v>0</v>
      </c>
      <c r="C553" s="87">
        <v>7798127631803</v>
      </c>
      <c r="D553" s="88" t="s">
        <v>805</v>
      </c>
      <c r="E553" s="89">
        <v>7762.7709999999997</v>
      </c>
      <c r="F553" s="89">
        <v>6986.4938999999995</v>
      </c>
      <c r="G553" s="60">
        <v>776.27710000000025</v>
      </c>
      <c r="H553" s="91">
        <v>0.1</v>
      </c>
      <c r="I553" s="86" t="s">
        <v>18</v>
      </c>
      <c r="J553" s="86" t="s">
        <v>23</v>
      </c>
      <c r="K553" s="137">
        <v>46178</v>
      </c>
      <c r="L553" s="137">
        <v>46234</v>
      </c>
      <c r="M553" s="68" t="s">
        <v>736</v>
      </c>
    </row>
    <row r="554" spans="1:13">
      <c r="A554" s="87">
        <v>659580</v>
      </c>
      <c r="B554" s="88">
        <v>14554</v>
      </c>
      <c r="C554" s="87">
        <v>7790704270375</v>
      </c>
      <c r="D554" s="88" t="s">
        <v>806</v>
      </c>
      <c r="E554" s="89">
        <v>1668.2429999999999</v>
      </c>
      <c r="F554" s="89">
        <v>1501.4186999999999</v>
      </c>
      <c r="G554" s="60">
        <v>166.82429999999999</v>
      </c>
      <c r="H554" s="91">
        <v>0.1</v>
      </c>
      <c r="I554" s="86" t="s">
        <v>18</v>
      </c>
      <c r="J554" s="86" t="s">
        <v>23</v>
      </c>
      <c r="K554" s="137">
        <v>46178</v>
      </c>
      <c r="L554" s="137">
        <v>46234</v>
      </c>
      <c r="M554" s="68" t="s">
        <v>736</v>
      </c>
    </row>
    <row r="555" spans="1:13">
      <c r="A555" s="87">
        <v>659581</v>
      </c>
      <c r="B555" s="88">
        <v>14555</v>
      </c>
      <c r="C555" s="87">
        <v>7790704270382</v>
      </c>
      <c r="D555" s="88" t="s">
        <v>807</v>
      </c>
      <c r="E555" s="89">
        <v>8404.5540000000001</v>
      </c>
      <c r="F555" s="89">
        <v>7564.0986000000003</v>
      </c>
      <c r="G555" s="60">
        <v>840.45539999999983</v>
      </c>
      <c r="H555" s="91">
        <v>0.1</v>
      </c>
      <c r="I555" s="86" t="s">
        <v>18</v>
      </c>
      <c r="J555" s="86" t="s">
        <v>23</v>
      </c>
      <c r="K555" s="137">
        <v>46178</v>
      </c>
      <c r="L555" s="137">
        <v>46234</v>
      </c>
      <c r="M555" s="68" t="s">
        <v>736</v>
      </c>
    </row>
    <row r="556" spans="1:13">
      <c r="A556" s="144">
        <v>8110</v>
      </c>
      <c r="B556" s="145" t="s">
        <v>1304</v>
      </c>
      <c r="C556" s="144">
        <v>7792319003201</v>
      </c>
      <c r="D556" s="138" t="s">
        <v>1305</v>
      </c>
      <c r="E556" s="142">
        <v>4499.99</v>
      </c>
      <c r="F556" s="142">
        <v>2999.9933333333347</v>
      </c>
      <c r="G556" s="143">
        <v>1499.9966666666651</v>
      </c>
      <c r="H556" s="146">
        <v>0.33329999999999999</v>
      </c>
      <c r="I556" s="147" t="s">
        <v>656</v>
      </c>
      <c r="J556" s="147" t="s">
        <v>657</v>
      </c>
      <c r="K556" s="148">
        <v>46206</v>
      </c>
      <c r="L556" s="148">
        <v>46234</v>
      </c>
      <c r="M556" s="68" t="s">
        <v>736</v>
      </c>
    </row>
    <row r="557" spans="1:13">
      <c r="A557" s="144">
        <v>8134</v>
      </c>
      <c r="B557" s="145" t="s">
        <v>1306</v>
      </c>
      <c r="C557" s="144">
        <v>7792319003188</v>
      </c>
      <c r="D557" s="138" t="s">
        <v>1307</v>
      </c>
      <c r="E557" s="142">
        <v>4499.99</v>
      </c>
      <c r="F557" s="142">
        <v>2999.9933333333347</v>
      </c>
      <c r="G557" s="143">
        <v>1499.9966666666651</v>
      </c>
      <c r="H557" s="146">
        <v>0.33329999999999999</v>
      </c>
      <c r="I557" s="147" t="s">
        <v>656</v>
      </c>
      <c r="J557" s="147" t="s">
        <v>657</v>
      </c>
      <c r="K557" s="148">
        <v>46206</v>
      </c>
      <c r="L557" s="148">
        <v>46234</v>
      </c>
      <c r="M557" s="68" t="s">
        <v>736</v>
      </c>
    </row>
    <row r="558" spans="1:13">
      <c r="A558" s="144">
        <v>8119</v>
      </c>
      <c r="B558" s="145" t="s">
        <v>1308</v>
      </c>
      <c r="C558" s="144">
        <v>7792319003195</v>
      </c>
      <c r="D558" s="138" t="s">
        <v>1309</v>
      </c>
      <c r="E558" s="142">
        <v>4499.99</v>
      </c>
      <c r="F558" s="142">
        <v>2999.9933333333347</v>
      </c>
      <c r="G558" s="143">
        <v>1499.9966666666651</v>
      </c>
      <c r="H558" s="146">
        <v>0.33329999999999999</v>
      </c>
      <c r="I558" s="147" t="s">
        <v>656</v>
      </c>
      <c r="J558" s="147" t="s">
        <v>657</v>
      </c>
      <c r="K558" s="148">
        <v>46206</v>
      </c>
      <c r="L558" s="148">
        <v>46234</v>
      </c>
      <c r="M558" s="68" t="s">
        <v>736</v>
      </c>
    </row>
    <row r="559" spans="1:13">
      <c r="A559" s="87">
        <v>665253</v>
      </c>
      <c r="B559" s="88">
        <v>100187757</v>
      </c>
      <c r="C559" s="87">
        <v>7791728246124</v>
      </c>
      <c r="D559" s="88" t="s">
        <v>1084</v>
      </c>
      <c r="E559" s="89">
        <v>41400</v>
      </c>
      <c r="F559" s="89">
        <v>33120</v>
      </c>
      <c r="G559" s="60">
        <v>8280</v>
      </c>
      <c r="H559" s="91">
        <v>0.2</v>
      </c>
      <c r="I559" s="86" t="s">
        <v>18</v>
      </c>
      <c r="J559" s="86" t="s">
        <v>75</v>
      </c>
      <c r="K559" s="137">
        <v>46178</v>
      </c>
      <c r="L559" s="137">
        <v>46234</v>
      </c>
      <c r="M559" s="68" t="s">
        <v>736</v>
      </c>
    </row>
    <row r="560" spans="1:13">
      <c r="A560" s="87">
        <v>660718</v>
      </c>
      <c r="B560" s="88">
        <v>21904</v>
      </c>
      <c r="C560" s="87">
        <v>7790577006125</v>
      </c>
      <c r="D560" s="88" t="s">
        <v>808</v>
      </c>
      <c r="E560" s="89">
        <v>14355</v>
      </c>
      <c r="F560" s="89">
        <v>12919.5</v>
      </c>
      <c r="G560" s="60">
        <v>1435.5</v>
      </c>
      <c r="H560" s="91">
        <v>0.1</v>
      </c>
      <c r="I560" s="86" t="s">
        <v>18</v>
      </c>
      <c r="J560" s="86" t="s">
        <v>23</v>
      </c>
      <c r="K560" s="137">
        <v>46178</v>
      </c>
      <c r="L560" s="137">
        <v>46234</v>
      </c>
      <c r="M560" s="68" t="s">
        <v>736</v>
      </c>
    </row>
    <row r="561" spans="1:13">
      <c r="A561" s="87">
        <v>14792</v>
      </c>
      <c r="B561" s="88">
        <v>458</v>
      </c>
      <c r="C561" s="87">
        <v>7794450002747</v>
      </c>
      <c r="D561" s="88" t="s">
        <v>809</v>
      </c>
      <c r="E561" s="89">
        <v>7350.0060000000003</v>
      </c>
      <c r="F561" s="89">
        <v>6615.0054</v>
      </c>
      <c r="G561" s="60">
        <v>735.0006000000003</v>
      </c>
      <c r="H561" s="91">
        <v>0.1</v>
      </c>
      <c r="I561" s="86" t="s">
        <v>18</v>
      </c>
      <c r="J561" s="86" t="s">
        <v>23</v>
      </c>
      <c r="K561" s="137">
        <v>46178</v>
      </c>
      <c r="L561" s="137">
        <v>46234</v>
      </c>
      <c r="M561" s="68" t="s">
        <v>736</v>
      </c>
    </row>
    <row r="562" spans="1:13">
      <c r="A562" s="87">
        <v>5443</v>
      </c>
      <c r="B562" s="88">
        <v>29913</v>
      </c>
      <c r="C562" s="87">
        <v>7790314003950</v>
      </c>
      <c r="D562" s="88" t="s">
        <v>1227</v>
      </c>
      <c r="E562" s="89">
        <v>8244.08</v>
      </c>
      <c r="F562" s="89">
        <v>6183.0599999999995</v>
      </c>
      <c r="G562" s="60">
        <v>2061.0200000000004</v>
      </c>
      <c r="H562" s="91">
        <v>0.25</v>
      </c>
      <c r="I562" s="86" t="s">
        <v>18</v>
      </c>
      <c r="J562" s="86" t="s">
        <v>24</v>
      </c>
      <c r="K562" s="137">
        <v>46178</v>
      </c>
      <c r="L562" s="137">
        <v>46234</v>
      </c>
      <c r="M562" s="68" t="s">
        <v>736</v>
      </c>
    </row>
    <row r="563" spans="1:13">
      <c r="A563" s="87">
        <v>2333</v>
      </c>
      <c r="B563" s="88">
        <v>50397</v>
      </c>
      <c r="C563" s="87">
        <v>7790093632723</v>
      </c>
      <c r="D563" s="88" t="s">
        <v>1085</v>
      </c>
      <c r="E563" s="89">
        <v>4853.2979999999998</v>
      </c>
      <c r="F563" s="89">
        <v>3882.6383999999998</v>
      </c>
      <c r="G563" s="60">
        <v>970.65959999999995</v>
      </c>
      <c r="H563" s="91">
        <v>0.2</v>
      </c>
      <c r="I563" s="86" t="s">
        <v>18</v>
      </c>
      <c r="J563" s="86" t="s">
        <v>75</v>
      </c>
      <c r="K563" s="137">
        <v>46178</v>
      </c>
      <c r="L563" s="137">
        <v>46234</v>
      </c>
      <c r="M563" s="68" t="s">
        <v>736</v>
      </c>
    </row>
    <row r="564" spans="1:13">
      <c r="A564" s="87">
        <v>662742</v>
      </c>
      <c r="B564" s="88">
        <v>1347</v>
      </c>
      <c r="C564" s="87">
        <v>7798123971347</v>
      </c>
      <c r="D564" s="88" t="s">
        <v>1086</v>
      </c>
      <c r="E564" s="89">
        <v>16435.189999999999</v>
      </c>
      <c r="F564" s="89">
        <v>13148.152</v>
      </c>
      <c r="G564" s="60">
        <v>3287.0379999999986</v>
      </c>
      <c r="H564" s="91">
        <v>0.2</v>
      </c>
      <c r="I564" s="86" t="s">
        <v>18</v>
      </c>
      <c r="J564" s="86" t="s">
        <v>75</v>
      </c>
      <c r="K564" s="137">
        <v>46178</v>
      </c>
      <c r="L564" s="137">
        <v>46234</v>
      </c>
      <c r="M564" s="68" t="s">
        <v>736</v>
      </c>
    </row>
    <row r="565" spans="1:13">
      <c r="A565" s="87">
        <v>663050</v>
      </c>
      <c r="B565" s="88">
        <v>1408</v>
      </c>
      <c r="C565" s="87">
        <v>7798123971408</v>
      </c>
      <c r="D565" s="88" t="s">
        <v>1087</v>
      </c>
      <c r="E565" s="89">
        <v>16435.187999999998</v>
      </c>
      <c r="F565" s="89">
        <v>13148.150399999999</v>
      </c>
      <c r="G565" s="60">
        <v>3287.0375999999997</v>
      </c>
      <c r="H565" s="91">
        <v>0.2</v>
      </c>
      <c r="I565" s="86" t="s">
        <v>18</v>
      </c>
      <c r="J565" s="86" t="s">
        <v>75</v>
      </c>
      <c r="K565" s="137">
        <v>46178</v>
      </c>
      <c r="L565" s="137">
        <v>46234</v>
      </c>
      <c r="M565" s="68" t="s">
        <v>736</v>
      </c>
    </row>
    <row r="566" spans="1:13">
      <c r="A566" s="87">
        <v>660859</v>
      </c>
      <c r="B566" s="88">
        <v>4188</v>
      </c>
      <c r="C566" s="87">
        <v>7798123974188</v>
      </c>
      <c r="D566" s="88" t="s">
        <v>1088</v>
      </c>
      <c r="E566" s="89">
        <v>19569.38</v>
      </c>
      <c r="F566" s="89">
        <v>15655.504000000001</v>
      </c>
      <c r="G566" s="60">
        <v>3913.8760000000002</v>
      </c>
      <c r="H566" s="91">
        <v>0.2</v>
      </c>
      <c r="I566" s="86" t="s">
        <v>18</v>
      </c>
      <c r="J566" s="86" t="s">
        <v>75</v>
      </c>
      <c r="K566" s="137">
        <v>46178</v>
      </c>
      <c r="L566" s="137">
        <v>46234</v>
      </c>
      <c r="M566" s="68" t="s">
        <v>736</v>
      </c>
    </row>
    <row r="567" spans="1:13">
      <c r="A567" s="87">
        <v>662743</v>
      </c>
      <c r="B567" s="88">
        <v>1545</v>
      </c>
      <c r="C567" s="87">
        <v>7798123971545</v>
      </c>
      <c r="D567" s="88" t="s">
        <v>1089</v>
      </c>
      <c r="E567" s="89">
        <v>16435.187999999998</v>
      </c>
      <c r="F567" s="89">
        <v>13148.150399999999</v>
      </c>
      <c r="G567" s="60">
        <v>3287.0375999999997</v>
      </c>
      <c r="H567" s="91">
        <v>0.2</v>
      </c>
      <c r="I567" s="86" t="s">
        <v>18</v>
      </c>
      <c r="J567" s="86" t="s">
        <v>75</v>
      </c>
      <c r="K567" s="137">
        <v>46178</v>
      </c>
      <c r="L567" s="137">
        <v>46234</v>
      </c>
      <c r="M567" s="68" t="s">
        <v>736</v>
      </c>
    </row>
    <row r="568" spans="1:13">
      <c r="A568" s="87">
        <v>662741</v>
      </c>
      <c r="B568" s="88">
        <v>1392</v>
      </c>
      <c r="C568" s="87">
        <v>7798123971392</v>
      </c>
      <c r="D568" s="88" t="s">
        <v>1090</v>
      </c>
      <c r="E568" s="89">
        <v>16435.187999999998</v>
      </c>
      <c r="F568" s="89">
        <v>13148.150399999999</v>
      </c>
      <c r="G568" s="60">
        <v>3287.0375999999997</v>
      </c>
      <c r="H568" s="91">
        <v>0.2</v>
      </c>
      <c r="I568" s="86" t="s">
        <v>18</v>
      </c>
      <c r="J568" s="86" t="s">
        <v>75</v>
      </c>
      <c r="K568" s="137">
        <v>46178</v>
      </c>
      <c r="L568" s="137">
        <v>46234</v>
      </c>
      <c r="M568" s="68" t="s">
        <v>736</v>
      </c>
    </row>
    <row r="569" spans="1:13">
      <c r="A569" s="87">
        <v>663879</v>
      </c>
      <c r="B569" s="88">
        <v>1187</v>
      </c>
      <c r="C569" s="87">
        <v>7798123971187</v>
      </c>
      <c r="D569" s="88" t="s">
        <v>1091</v>
      </c>
      <c r="E569" s="89">
        <v>16773.75</v>
      </c>
      <c r="F569" s="89">
        <v>13419</v>
      </c>
      <c r="G569" s="60">
        <v>3354.75</v>
      </c>
      <c r="H569" s="91">
        <v>0.2</v>
      </c>
      <c r="I569" s="86" t="s">
        <v>18</v>
      </c>
      <c r="J569" s="86" t="s">
        <v>75</v>
      </c>
      <c r="K569" s="137">
        <v>46178</v>
      </c>
      <c r="L569" s="137">
        <v>46234</v>
      </c>
      <c r="M569" s="68" t="s">
        <v>736</v>
      </c>
    </row>
    <row r="570" spans="1:13">
      <c r="A570" s="87">
        <v>663048</v>
      </c>
      <c r="B570" s="88">
        <v>3822</v>
      </c>
      <c r="C570" s="87">
        <v>7798123973822</v>
      </c>
      <c r="D570" s="88" t="s">
        <v>1092</v>
      </c>
      <c r="E570" s="89">
        <v>16773.75</v>
      </c>
      <c r="F570" s="89">
        <v>13419</v>
      </c>
      <c r="G570" s="60">
        <v>3354.75</v>
      </c>
      <c r="H570" s="91">
        <v>0.2</v>
      </c>
      <c r="I570" s="86" t="s">
        <v>18</v>
      </c>
      <c r="J570" s="86" t="s">
        <v>75</v>
      </c>
      <c r="K570" s="137">
        <v>46178</v>
      </c>
      <c r="L570" s="137">
        <v>46234</v>
      </c>
      <c r="M570" s="68" t="s">
        <v>736</v>
      </c>
    </row>
    <row r="571" spans="1:13">
      <c r="A571" s="87">
        <v>665432</v>
      </c>
      <c r="B571" s="88">
        <v>1126</v>
      </c>
      <c r="C571" s="87">
        <v>7798000213539</v>
      </c>
      <c r="D571" s="88" t="s">
        <v>810</v>
      </c>
      <c r="E571" s="89">
        <v>15329.4</v>
      </c>
      <c r="F571" s="89">
        <v>13796.46</v>
      </c>
      <c r="G571" s="60">
        <v>1532.9400000000005</v>
      </c>
      <c r="H571" s="91">
        <v>0.1</v>
      </c>
      <c r="I571" s="86" t="s">
        <v>18</v>
      </c>
      <c r="J571" s="86" t="s">
        <v>23</v>
      </c>
      <c r="K571" s="137">
        <v>46178</v>
      </c>
      <c r="L571" s="137">
        <v>46234</v>
      </c>
      <c r="M571" s="68" t="s">
        <v>736</v>
      </c>
    </row>
    <row r="572" spans="1:13">
      <c r="A572" s="87">
        <v>665431</v>
      </c>
      <c r="B572" s="88">
        <v>1114</v>
      </c>
      <c r="C572" s="87">
        <v>7798000213522</v>
      </c>
      <c r="D572" s="88" t="s">
        <v>811</v>
      </c>
      <c r="E572" s="89">
        <v>15329.4</v>
      </c>
      <c r="F572" s="89">
        <v>13796.46</v>
      </c>
      <c r="G572" s="60">
        <v>1532.9400000000005</v>
      </c>
      <c r="H572" s="91">
        <v>0.1</v>
      </c>
      <c r="I572" s="86" t="s">
        <v>18</v>
      </c>
      <c r="J572" s="86" t="s">
        <v>23</v>
      </c>
      <c r="K572" s="137">
        <v>46178</v>
      </c>
      <c r="L572" s="137">
        <v>46234</v>
      </c>
      <c r="M572" s="68" t="s">
        <v>736</v>
      </c>
    </row>
    <row r="573" spans="1:13">
      <c r="A573" s="87">
        <v>660515</v>
      </c>
      <c r="B573" s="88">
        <v>31010102275020</v>
      </c>
      <c r="C573" s="87">
        <v>7790703166518</v>
      </c>
      <c r="D573" s="88" t="s">
        <v>1228</v>
      </c>
      <c r="E573" s="89">
        <v>11444.85</v>
      </c>
      <c r="F573" s="89">
        <v>8583.6375000000007</v>
      </c>
      <c r="G573" s="60">
        <v>2861.2124999999996</v>
      </c>
      <c r="H573" s="91">
        <v>0.25</v>
      </c>
      <c r="I573" s="86" t="s">
        <v>18</v>
      </c>
      <c r="J573" s="86" t="s">
        <v>24</v>
      </c>
      <c r="K573" s="137">
        <v>46178</v>
      </c>
      <c r="L573" s="137">
        <v>46234</v>
      </c>
      <c r="M573" s="68" t="s">
        <v>736</v>
      </c>
    </row>
    <row r="574" spans="1:13">
      <c r="A574" s="87">
        <v>659902</v>
      </c>
      <c r="B574" s="88">
        <v>7790703199134</v>
      </c>
      <c r="C574" s="87">
        <v>7790703199134</v>
      </c>
      <c r="D574" s="88" t="s">
        <v>1229</v>
      </c>
      <c r="E574" s="89">
        <v>7515.9920000000002</v>
      </c>
      <c r="F574" s="89">
        <v>5636.9940000000006</v>
      </c>
      <c r="G574" s="60">
        <v>1878.9979999999996</v>
      </c>
      <c r="H574" s="91">
        <v>0.25</v>
      </c>
      <c r="I574" s="86" t="s">
        <v>18</v>
      </c>
      <c r="J574" s="86" t="s">
        <v>24</v>
      </c>
      <c r="K574" s="137">
        <v>46178</v>
      </c>
      <c r="L574" s="137">
        <v>46234</v>
      </c>
      <c r="M574" s="68" t="s">
        <v>736</v>
      </c>
    </row>
    <row r="575" spans="1:13">
      <c r="A575" s="87">
        <v>659899</v>
      </c>
      <c r="B575" s="88">
        <v>7790703199189</v>
      </c>
      <c r="C575" s="87">
        <v>7790703199189</v>
      </c>
      <c r="D575" s="88" t="s">
        <v>1230</v>
      </c>
      <c r="E575" s="89">
        <v>5874.3329999999996</v>
      </c>
      <c r="F575" s="89">
        <v>4405.7497499999999</v>
      </c>
      <c r="G575" s="60">
        <v>1468.5832499999997</v>
      </c>
      <c r="H575" s="91">
        <v>0.25</v>
      </c>
      <c r="I575" s="86" t="s">
        <v>18</v>
      </c>
      <c r="J575" s="86" t="s">
        <v>24</v>
      </c>
      <c r="K575" s="137">
        <v>46178</v>
      </c>
      <c r="L575" s="137">
        <v>46234</v>
      </c>
      <c r="M575" s="68" t="s">
        <v>736</v>
      </c>
    </row>
    <row r="576" spans="1:13">
      <c r="A576" s="87">
        <v>660577</v>
      </c>
      <c r="B576" s="88">
        <v>86023</v>
      </c>
      <c r="C576" s="87">
        <v>7790314064012</v>
      </c>
      <c r="D576" s="88" t="s">
        <v>1231</v>
      </c>
      <c r="E576" s="89">
        <v>4507.6620000000003</v>
      </c>
      <c r="F576" s="89">
        <v>3380.7465000000002</v>
      </c>
      <c r="G576" s="60">
        <v>1126.9155000000001</v>
      </c>
      <c r="H576" s="91">
        <v>0.25</v>
      </c>
      <c r="I576" s="86" t="s">
        <v>18</v>
      </c>
      <c r="J576" s="86" t="s">
        <v>24</v>
      </c>
      <c r="K576" s="137">
        <v>46178</v>
      </c>
      <c r="L576" s="137">
        <v>46234</v>
      </c>
      <c r="M576" s="68" t="s">
        <v>736</v>
      </c>
    </row>
    <row r="577" spans="1:13">
      <c r="A577" s="87">
        <v>666519</v>
      </c>
      <c r="B577" s="88">
        <v>2901</v>
      </c>
      <c r="C577" s="87">
        <v>7798422330296</v>
      </c>
      <c r="D577" s="88" t="s">
        <v>1093</v>
      </c>
      <c r="E577" s="89">
        <v>4268.2460000000001</v>
      </c>
      <c r="F577" s="89">
        <v>3414.5968000000003</v>
      </c>
      <c r="G577" s="60">
        <v>853.64919999999984</v>
      </c>
      <c r="H577" s="91">
        <v>0.2</v>
      </c>
      <c r="I577" s="86" t="s">
        <v>18</v>
      </c>
      <c r="J577" s="86" t="s">
        <v>75</v>
      </c>
      <c r="K577" s="137">
        <v>46178</v>
      </c>
      <c r="L577" s="137">
        <v>46234</v>
      </c>
      <c r="M577" s="68" t="s">
        <v>736</v>
      </c>
    </row>
    <row r="578" spans="1:13">
      <c r="A578" s="87">
        <v>14080</v>
      </c>
      <c r="B578" s="88">
        <v>415</v>
      </c>
      <c r="C578" s="87">
        <v>7790415128231</v>
      </c>
      <c r="D578" s="88" t="s">
        <v>1094</v>
      </c>
      <c r="E578" s="89">
        <v>7380.0079999999998</v>
      </c>
      <c r="F578" s="89">
        <v>5904.0064000000002</v>
      </c>
      <c r="G578" s="60">
        <v>1476.0015999999996</v>
      </c>
      <c r="H578" s="91">
        <v>0.2</v>
      </c>
      <c r="I578" s="86" t="s">
        <v>18</v>
      </c>
      <c r="J578" s="86" t="s">
        <v>75</v>
      </c>
      <c r="K578" s="137">
        <v>46178</v>
      </c>
      <c r="L578" s="137">
        <v>46234</v>
      </c>
      <c r="M578" s="68" t="s">
        <v>736</v>
      </c>
    </row>
    <row r="579" spans="1:13">
      <c r="A579" s="87">
        <v>4124</v>
      </c>
      <c r="B579" s="88">
        <v>445</v>
      </c>
      <c r="C579" s="87">
        <v>7790415128033</v>
      </c>
      <c r="D579" s="88" t="s">
        <v>1095</v>
      </c>
      <c r="E579" s="89">
        <v>7380.0079999999998</v>
      </c>
      <c r="F579" s="89">
        <v>5904.0064000000002</v>
      </c>
      <c r="G579" s="60">
        <v>1476.0015999999996</v>
      </c>
      <c r="H579" s="91">
        <v>0.2</v>
      </c>
      <c r="I579" s="86" t="s">
        <v>18</v>
      </c>
      <c r="J579" s="86" t="s">
        <v>75</v>
      </c>
      <c r="K579" s="137">
        <v>46178</v>
      </c>
      <c r="L579" s="137">
        <v>46234</v>
      </c>
      <c r="M579" s="68" t="s">
        <v>736</v>
      </c>
    </row>
    <row r="580" spans="1:13">
      <c r="A580" s="87">
        <v>664044</v>
      </c>
      <c r="B580" s="88">
        <v>1689</v>
      </c>
      <c r="C580" s="87">
        <v>7790470086392</v>
      </c>
      <c r="D580" s="88" t="s">
        <v>812</v>
      </c>
      <c r="E580" s="89">
        <v>9690</v>
      </c>
      <c r="F580" s="89">
        <v>8721</v>
      </c>
      <c r="G580" s="60">
        <v>969</v>
      </c>
      <c r="H580" s="91">
        <v>0.1</v>
      </c>
      <c r="I580" s="86" t="s">
        <v>18</v>
      </c>
      <c r="J580" s="86" t="s">
        <v>23</v>
      </c>
      <c r="K580" s="137">
        <v>46178</v>
      </c>
      <c r="L580" s="137">
        <v>46234</v>
      </c>
      <c r="M580" s="68" t="s">
        <v>736</v>
      </c>
    </row>
    <row r="581" spans="1:13">
      <c r="A581" s="87">
        <v>664042</v>
      </c>
      <c r="B581" s="88">
        <v>1690</v>
      </c>
      <c r="C581" s="87">
        <v>7790470086408</v>
      </c>
      <c r="D581" s="88" t="s">
        <v>813</v>
      </c>
      <c r="E581" s="89">
        <v>9690</v>
      </c>
      <c r="F581" s="89">
        <v>8721</v>
      </c>
      <c r="G581" s="60">
        <v>969</v>
      </c>
      <c r="H581" s="91">
        <v>0.1</v>
      </c>
      <c r="I581" s="86" t="s">
        <v>18</v>
      </c>
      <c r="J581" s="86" t="s">
        <v>23</v>
      </c>
      <c r="K581" s="137">
        <v>46178</v>
      </c>
      <c r="L581" s="137">
        <v>46234</v>
      </c>
      <c r="M581" s="68" t="s">
        <v>736</v>
      </c>
    </row>
    <row r="582" spans="1:13">
      <c r="A582" s="87">
        <v>666132</v>
      </c>
      <c r="B582" s="88">
        <v>1719</v>
      </c>
      <c r="C582" s="87">
        <v>7790470086415</v>
      </c>
      <c r="D582" s="88" t="s">
        <v>814</v>
      </c>
      <c r="E582" s="89">
        <v>9690.2800000000007</v>
      </c>
      <c r="F582" s="89">
        <v>8721.2520000000004</v>
      </c>
      <c r="G582" s="60">
        <v>969.02800000000025</v>
      </c>
      <c r="H582" s="91">
        <v>0.1</v>
      </c>
      <c r="I582" s="86" t="s">
        <v>18</v>
      </c>
      <c r="J582" s="86" t="s">
        <v>23</v>
      </c>
      <c r="K582" s="137">
        <v>46178</v>
      </c>
      <c r="L582" s="137">
        <v>46234</v>
      </c>
      <c r="M582" s="68" t="s">
        <v>736</v>
      </c>
    </row>
    <row r="583" spans="1:13">
      <c r="A583" s="87">
        <v>665088</v>
      </c>
      <c r="B583" s="88">
        <v>1688</v>
      </c>
      <c r="C583" s="87">
        <v>7790470086149</v>
      </c>
      <c r="D583" s="88" t="s">
        <v>815</v>
      </c>
      <c r="E583" s="89">
        <v>7927.866</v>
      </c>
      <c r="F583" s="89">
        <v>7135.0794000000005</v>
      </c>
      <c r="G583" s="60">
        <v>792.78659999999945</v>
      </c>
      <c r="H583" s="91">
        <v>0.1</v>
      </c>
      <c r="I583" s="86" t="s">
        <v>18</v>
      </c>
      <c r="J583" s="86" t="s">
        <v>23</v>
      </c>
      <c r="K583" s="137">
        <v>46178</v>
      </c>
      <c r="L583" s="137">
        <v>46234</v>
      </c>
      <c r="M583" s="68" t="s">
        <v>736</v>
      </c>
    </row>
    <row r="584" spans="1:13">
      <c r="A584" s="87">
        <v>663930</v>
      </c>
      <c r="B584" s="88">
        <v>1005</v>
      </c>
      <c r="C584" s="87">
        <v>7790470082585</v>
      </c>
      <c r="D584" s="88" t="s">
        <v>816</v>
      </c>
      <c r="E584" s="89">
        <v>11333.517</v>
      </c>
      <c r="F584" s="89">
        <v>10200.165300000001</v>
      </c>
      <c r="G584" s="60">
        <v>1133.3516999999993</v>
      </c>
      <c r="H584" s="91">
        <v>0.1</v>
      </c>
      <c r="I584" s="86" t="s">
        <v>18</v>
      </c>
      <c r="J584" s="86" t="s">
        <v>23</v>
      </c>
      <c r="K584" s="137">
        <v>46178</v>
      </c>
      <c r="L584" s="137">
        <v>46234</v>
      </c>
      <c r="M584" s="68" t="s">
        <v>736</v>
      </c>
    </row>
    <row r="585" spans="1:13">
      <c r="A585" s="87">
        <v>659799</v>
      </c>
      <c r="B585" s="88">
        <v>972</v>
      </c>
      <c r="C585" s="87">
        <v>7790470082639</v>
      </c>
      <c r="D585" s="88" t="s">
        <v>817</v>
      </c>
      <c r="E585" s="89">
        <v>11333.517</v>
      </c>
      <c r="F585" s="89">
        <v>10200.165300000001</v>
      </c>
      <c r="G585" s="60">
        <v>1133.3516999999993</v>
      </c>
      <c r="H585" s="91">
        <v>0.1</v>
      </c>
      <c r="I585" s="86" t="s">
        <v>18</v>
      </c>
      <c r="J585" s="86" t="s">
        <v>23</v>
      </c>
      <c r="K585" s="137">
        <v>46178</v>
      </c>
      <c r="L585" s="137">
        <v>46234</v>
      </c>
      <c r="M585" s="68" t="s">
        <v>736</v>
      </c>
    </row>
    <row r="586" spans="1:13">
      <c r="A586" s="87">
        <v>6560</v>
      </c>
      <c r="B586" s="88">
        <v>971</v>
      </c>
      <c r="C586" s="87">
        <v>7790470082769</v>
      </c>
      <c r="D586" s="88" t="s">
        <v>818</v>
      </c>
      <c r="E586" s="89">
        <v>8095.3450000000003</v>
      </c>
      <c r="F586" s="89">
        <v>7285.8105000000005</v>
      </c>
      <c r="G586" s="60">
        <v>809.53449999999975</v>
      </c>
      <c r="H586" s="91">
        <v>0.1</v>
      </c>
      <c r="I586" s="86" t="s">
        <v>18</v>
      </c>
      <c r="J586" s="86" t="s">
        <v>23</v>
      </c>
      <c r="K586" s="137">
        <v>46178</v>
      </c>
      <c r="L586" s="137">
        <v>46234</v>
      </c>
      <c r="M586" s="68" t="s">
        <v>736</v>
      </c>
    </row>
    <row r="587" spans="1:13">
      <c r="A587" s="87">
        <v>4599</v>
      </c>
      <c r="B587" s="88">
        <v>70201</v>
      </c>
      <c r="C587" s="87">
        <v>7790240012019</v>
      </c>
      <c r="D587" s="88" t="s">
        <v>819</v>
      </c>
      <c r="E587" s="89">
        <v>7643.875</v>
      </c>
      <c r="F587" s="89">
        <v>6879.4875000000002</v>
      </c>
      <c r="G587" s="60">
        <v>764.38749999999982</v>
      </c>
      <c r="H587" s="91">
        <v>0.1</v>
      </c>
      <c r="I587" s="86" t="s">
        <v>18</v>
      </c>
      <c r="J587" s="86" t="s">
        <v>23</v>
      </c>
      <c r="K587" s="137">
        <v>46178</v>
      </c>
      <c r="L587" s="137">
        <v>46234</v>
      </c>
      <c r="M587" s="68" t="s">
        <v>736</v>
      </c>
    </row>
    <row r="588" spans="1:13">
      <c r="A588" s="87">
        <v>13879</v>
      </c>
      <c r="B588" s="88">
        <v>70202</v>
      </c>
      <c r="C588" s="87">
        <v>7790240012026</v>
      </c>
      <c r="D588" s="88" t="s">
        <v>820</v>
      </c>
      <c r="E588" s="89">
        <v>7643.875</v>
      </c>
      <c r="F588" s="89">
        <v>6879.4875000000002</v>
      </c>
      <c r="G588" s="60">
        <v>764.38749999999982</v>
      </c>
      <c r="H588" s="91">
        <v>0.1</v>
      </c>
      <c r="I588" s="86" t="s">
        <v>18</v>
      </c>
      <c r="J588" s="86" t="s">
        <v>23</v>
      </c>
      <c r="K588" s="137">
        <v>46178</v>
      </c>
      <c r="L588" s="137">
        <v>46234</v>
      </c>
      <c r="M588" s="68" t="s">
        <v>736</v>
      </c>
    </row>
    <row r="589" spans="1:13">
      <c r="A589" s="87">
        <v>662402</v>
      </c>
      <c r="B589" s="88">
        <v>160</v>
      </c>
      <c r="C589" s="87">
        <v>7798110811588</v>
      </c>
      <c r="D589" s="88" t="s">
        <v>987</v>
      </c>
      <c r="E589" s="89">
        <v>12051</v>
      </c>
      <c r="F589" s="89">
        <v>10243.35</v>
      </c>
      <c r="G589" s="60">
        <v>1807.6499999999996</v>
      </c>
      <c r="H589" s="91">
        <v>0.15</v>
      </c>
      <c r="I589" s="86" t="s">
        <v>18</v>
      </c>
      <c r="J589" s="86" t="s">
        <v>70</v>
      </c>
      <c r="K589" s="137">
        <v>46178</v>
      </c>
      <c r="L589" s="137">
        <v>46234</v>
      </c>
      <c r="M589" s="68" t="s">
        <v>736</v>
      </c>
    </row>
    <row r="590" spans="1:13">
      <c r="A590" s="87">
        <v>662403</v>
      </c>
      <c r="B590" s="88">
        <v>161</v>
      </c>
      <c r="C590" s="87">
        <v>7798110811595</v>
      </c>
      <c r="D590" s="88" t="s">
        <v>988</v>
      </c>
      <c r="E590" s="89">
        <v>12051</v>
      </c>
      <c r="F590" s="89">
        <v>10243.35</v>
      </c>
      <c r="G590" s="60">
        <v>1807.6499999999996</v>
      </c>
      <c r="H590" s="91">
        <v>0.15</v>
      </c>
      <c r="I590" s="86" t="s">
        <v>18</v>
      </c>
      <c r="J590" s="86" t="s">
        <v>70</v>
      </c>
      <c r="K590" s="137">
        <v>46178</v>
      </c>
      <c r="L590" s="137">
        <v>46234</v>
      </c>
      <c r="M590" s="68" t="s">
        <v>736</v>
      </c>
    </row>
    <row r="591" spans="1:13">
      <c r="A591" s="87">
        <v>662401</v>
      </c>
      <c r="B591" s="88">
        <v>162</v>
      </c>
      <c r="C591" s="87">
        <v>7798110811571</v>
      </c>
      <c r="D591" s="88" t="s">
        <v>989</v>
      </c>
      <c r="E591" s="89">
        <v>12051</v>
      </c>
      <c r="F591" s="89">
        <v>10243.35</v>
      </c>
      <c r="G591" s="60">
        <v>1807.6499999999996</v>
      </c>
      <c r="H591" s="91">
        <v>0.15</v>
      </c>
      <c r="I591" s="86" t="s">
        <v>18</v>
      </c>
      <c r="J591" s="86" t="s">
        <v>70</v>
      </c>
      <c r="K591" s="137">
        <v>46178</v>
      </c>
      <c r="L591" s="137">
        <v>46234</v>
      </c>
      <c r="M591" s="68" t="s">
        <v>736</v>
      </c>
    </row>
    <row r="592" spans="1:13">
      <c r="A592" s="87">
        <v>656931</v>
      </c>
      <c r="B592" s="88">
        <v>76069</v>
      </c>
      <c r="C592" s="87">
        <v>7790070779014</v>
      </c>
      <c r="D592" s="88" t="s">
        <v>821</v>
      </c>
      <c r="E592" s="89">
        <v>6136.357</v>
      </c>
      <c r="F592" s="89">
        <v>5522.7213000000002</v>
      </c>
      <c r="G592" s="60">
        <v>613.63569999999982</v>
      </c>
      <c r="H592" s="91">
        <v>0.1</v>
      </c>
      <c r="I592" s="86" t="s">
        <v>18</v>
      </c>
      <c r="J592" s="86" t="s">
        <v>23</v>
      </c>
      <c r="K592" s="137">
        <v>46178</v>
      </c>
      <c r="L592" s="137">
        <v>46234</v>
      </c>
      <c r="M592" s="68" t="s">
        <v>736</v>
      </c>
    </row>
    <row r="593" spans="1:13">
      <c r="A593" s="87">
        <v>663815</v>
      </c>
      <c r="B593" s="88">
        <v>0</v>
      </c>
      <c r="C593" s="87">
        <v>7798159947217</v>
      </c>
      <c r="D593" s="88" t="s">
        <v>822</v>
      </c>
      <c r="E593" s="89">
        <v>14699.99</v>
      </c>
      <c r="F593" s="89">
        <v>13229.991</v>
      </c>
      <c r="G593" s="60">
        <v>1469.9989999999998</v>
      </c>
      <c r="H593" s="91">
        <v>0.1</v>
      </c>
      <c r="I593" s="86" t="s">
        <v>18</v>
      </c>
      <c r="J593" s="86" t="s">
        <v>23</v>
      </c>
      <c r="K593" s="137">
        <v>46178</v>
      </c>
      <c r="L593" s="137">
        <v>46234</v>
      </c>
      <c r="M593" s="68" t="s">
        <v>736</v>
      </c>
    </row>
    <row r="594" spans="1:13">
      <c r="A594" s="87">
        <v>661645</v>
      </c>
      <c r="B594" s="88">
        <v>100170558</v>
      </c>
      <c r="C594" s="87">
        <v>7791728239713</v>
      </c>
      <c r="D594" s="88" t="s">
        <v>990</v>
      </c>
      <c r="E594" s="89">
        <v>10454.4</v>
      </c>
      <c r="F594" s="89">
        <v>8886.24</v>
      </c>
      <c r="G594" s="60">
        <v>1568.1599999999999</v>
      </c>
      <c r="H594" s="91">
        <v>0.15</v>
      </c>
      <c r="I594" s="86" t="s">
        <v>18</v>
      </c>
      <c r="J594" s="86" t="s">
        <v>70</v>
      </c>
      <c r="K594" s="137">
        <v>46178</v>
      </c>
      <c r="L594" s="137">
        <v>46234</v>
      </c>
      <c r="M594" s="68" t="s">
        <v>736</v>
      </c>
    </row>
    <row r="595" spans="1:13">
      <c r="A595" s="87">
        <v>661644</v>
      </c>
      <c r="B595" s="88">
        <v>100170561</v>
      </c>
      <c r="C595" s="87">
        <v>7791728239690</v>
      </c>
      <c r="D595" s="88" t="s">
        <v>991</v>
      </c>
      <c r="E595" s="89">
        <v>10454.4</v>
      </c>
      <c r="F595" s="89">
        <v>8886.24</v>
      </c>
      <c r="G595" s="60">
        <v>1568.1599999999999</v>
      </c>
      <c r="H595" s="91">
        <v>0.15</v>
      </c>
      <c r="I595" s="86" t="s">
        <v>18</v>
      </c>
      <c r="J595" s="86" t="s">
        <v>70</v>
      </c>
      <c r="K595" s="137">
        <v>46178</v>
      </c>
      <c r="L595" s="137">
        <v>46234</v>
      </c>
      <c r="M595" s="68" t="s">
        <v>736</v>
      </c>
    </row>
    <row r="596" spans="1:13">
      <c r="A596" s="87">
        <v>661646</v>
      </c>
      <c r="B596" s="88">
        <v>100170232</v>
      </c>
      <c r="C596" s="87">
        <v>7791728239508</v>
      </c>
      <c r="D596" s="88" t="s">
        <v>992</v>
      </c>
      <c r="E596" s="89">
        <v>10454.4</v>
      </c>
      <c r="F596" s="89">
        <v>8886.24</v>
      </c>
      <c r="G596" s="60">
        <v>1568.1599999999999</v>
      </c>
      <c r="H596" s="91">
        <v>0.15</v>
      </c>
      <c r="I596" s="86" t="s">
        <v>18</v>
      </c>
      <c r="J596" s="86" t="s">
        <v>70</v>
      </c>
      <c r="K596" s="137">
        <v>46178</v>
      </c>
      <c r="L596" s="137">
        <v>46234</v>
      </c>
      <c r="M596" s="68" t="s">
        <v>736</v>
      </c>
    </row>
    <row r="597" spans="1:13">
      <c r="A597" s="87">
        <v>659579</v>
      </c>
      <c r="B597" s="88">
        <v>14553</v>
      </c>
      <c r="C597" s="87">
        <v>7791540152887</v>
      </c>
      <c r="D597" s="88" t="s">
        <v>823</v>
      </c>
      <c r="E597" s="89">
        <v>6697.5879999999997</v>
      </c>
      <c r="F597" s="89">
        <v>6027.8292000000001</v>
      </c>
      <c r="G597" s="60">
        <v>669.75879999999961</v>
      </c>
      <c r="H597" s="91">
        <v>0.1</v>
      </c>
      <c r="I597" s="86" t="s">
        <v>18</v>
      </c>
      <c r="J597" s="86" t="s">
        <v>23</v>
      </c>
      <c r="K597" s="137">
        <v>46178</v>
      </c>
      <c r="L597" s="137">
        <v>46234</v>
      </c>
      <c r="M597" s="68" t="s">
        <v>736</v>
      </c>
    </row>
    <row r="598" spans="1:13">
      <c r="A598" s="87">
        <v>663188</v>
      </c>
      <c r="B598" s="88">
        <v>0</v>
      </c>
      <c r="C598" s="87">
        <v>7798368780100</v>
      </c>
      <c r="D598" s="88" t="s">
        <v>1232</v>
      </c>
      <c r="E598" s="89">
        <v>5596.7820000000002</v>
      </c>
      <c r="F598" s="89">
        <v>4197.5865000000003</v>
      </c>
      <c r="G598" s="60">
        <v>1399.1954999999998</v>
      </c>
      <c r="H598" s="91">
        <v>0.25</v>
      </c>
      <c r="I598" s="86" t="s">
        <v>18</v>
      </c>
      <c r="J598" s="86" t="s">
        <v>24</v>
      </c>
      <c r="K598" s="137">
        <v>46178</v>
      </c>
      <c r="L598" s="137">
        <v>46234</v>
      </c>
      <c r="M598" s="68" t="s">
        <v>736</v>
      </c>
    </row>
    <row r="599" spans="1:13">
      <c r="A599" s="87">
        <v>663185</v>
      </c>
      <c r="B599" s="88">
        <v>0</v>
      </c>
      <c r="C599" s="87">
        <v>7798368780094</v>
      </c>
      <c r="D599" s="88" t="s">
        <v>1233</v>
      </c>
      <c r="E599" s="89">
        <v>5596.7820000000002</v>
      </c>
      <c r="F599" s="89">
        <v>4197.5865000000003</v>
      </c>
      <c r="G599" s="60">
        <v>1399.1954999999998</v>
      </c>
      <c r="H599" s="91">
        <v>0.25</v>
      </c>
      <c r="I599" s="86" t="s">
        <v>18</v>
      </c>
      <c r="J599" s="86" t="s">
        <v>24</v>
      </c>
      <c r="K599" s="137">
        <v>46178</v>
      </c>
      <c r="L599" s="137">
        <v>46234</v>
      </c>
      <c r="M599" s="68" t="s">
        <v>736</v>
      </c>
    </row>
    <row r="600" spans="1:13">
      <c r="A600" s="87">
        <v>666188</v>
      </c>
      <c r="B600" s="88">
        <v>696</v>
      </c>
      <c r="C600" s="87">
        <v>7798000210521</v>
      </c>
      <c r="D600" s="88" t="s">
        <v>824</v>
      </c>
      <c r="E600" s="89">
        <v>10929.29</v>
      </c>
      <c r="F600" s="89">
        <v>9836.3610000000008</v>
      </c>
      <c r="G600" s="60">
        <v>1092.9290000000001</v>
      </c>
      <c r="H600" s="91">
        <v>0.1</v>
      </c>
      <c r="I600" s="86" t="s">
        <v>18</v>
      </c>
      <c r="J600" s="86" t="s">
        <v>23</v>
      </c>
      <c r="K600" s="137">
        <v>46178</v>
      </c>
      <c r="L600" s="137">
        <v>46234</v>
      </c>
      <c r="M600" s="68" t="s">
        <v>736</v>
      </c>
    </row>
    <row r="601" spans="1:13">
      <c r="A601" s="87">
        <v>666189</v>
      </c>
      <c r="B601" s="88">
        <v>661</v>
      </c>
      <c r="C601" s="87">
        <v>7798000213652</v>
      </c>
      <c r="D601" s="88" t="s">
        <v>825</v>
      </c>
      <c r="E601" s="89">
        <v>10929.29</v>
      </c>
      <c r="F601" s="89">
        <v>9836.3610000000008</v>
      </c>
      <c r="G601" s="60">
        <v>1092.9290000000001</v>
      </c>
      <c r="H601" s="91">
        <v>0.1</v>
      </c>
      <c r="I601" s="86" t="s">
        <v>18</v>
      </c>
      <c r="J601" s="86" t="s">
        <v>23</v>
      </c>
      <c r="K601" s="137">
        <v>46178</v>
      </c>
      <c r="L601" s="137">
        <v>46234</v>
      </c>
      <c r="M601" s="68" t="s">
        <v>736</v>
      </c>
    </row>
    <row r="602" spans="1:13">
      <c r="A602" s="87">
        <v>666190</v>
      </c>
      <c r="B602" s="88">
        <v>1533</v>
      </c>
      <c r="C602" s="87">
        <v>7798000213218</v>
      </c>
      <c r="D602" s="88" t="s">
        <v>826</v>
      </c>
      <c r="E602" s="89">
        <v>10929.29</v>
      </c>
      <c r="F602" s="89">
        <v>9836.3610000000008</v>
      </c>
      <c r="G602" s="60">
        <v>1092.9290000000001</v>
      </c>
      <c r="H602" s="91">
        <v>0.1</v>
      </c>
      <c r="I602" s="86" t="s">
        <v>18</v>
      </c>
      <c r="J602" s="86" t="s">
        <v>23</v>
      </c>
      <c r="K602" s="137">
        <v>46178</v>
      </c>
      <c r="L602" s="137">
        <v>46234</v>
      </c>
      <c r="M602" s="68" t="s">
        <v>736</v>
      </c>
    </row>
    <row r="603" spans="1:13">
      <c r="A603" s="87">
        <v>658068</v>
      </c>
      <c r="B603" s="88">
        <v>10010002522</v>
      </c>
      <c r="C603" s="87">
        <v>7791843009192</v>
      </c>
      <c r="D603" s="88" t="s">
        <v>1234</v>
      </c>
      <c r="E603" s="89">
        <v>6091.7640000000001</v>
      </c>
      <c r="F603" s="89">
        <v>4568.8230000000003</v>
      </c>
      <c r="G603" s="60">
        <v>1522.9409999999998</v>
      </c>
      <c r="H603" s="91">
        <v>0.25</v>
      </c>
      <c r="I603" s="86" t="s">
        <v>18</v>
      </c>
      <c r="J603" s="86" t="s">
        <v>24</v>
      </c>
      <c r="K603" s="137">
        <v>46178</v>
      </c>
      <c r="L603" s="137">
        <v>46234</v>
      </c>
      <c r="M603" s="68" t="s">
        <v>736</v>
      </c>
    </row>
    <row r="604" spans="1:13">
      <c r="A604" s="87">
        <v>660328</v>
      </c>
      <c r="B604" s="88">
        <v>10008004622</v>
      </c>
      <c r="C604" s="87">
        <v>7791843019863</v>
      </c>
      <c r="D604" s="88" t="s">
        <v>1235</v>
      </c>
      <c r="E604" s="89">
        <v>8537.66</v>
      </c>
      <c r="F604" s="89">
        <v>6403.2449999999999</v>
      </c>
      <c r="G604" s="60">
        <v>2134.415</v>
      </c>
      <c r="H604" s="91">
        <v>0.25</v>
      </c>
      <c r="I604" s="86" t="s">
        <v>18</v>
      </c>
      <c r="J604" s="86" t="s">
        <v>24</v>
      </c>
      <c r="K604" s="137">
        <v>46178</v>
      </c>
      <c r="L604" s="137">
        <v>46234</v>
      </c>
      <c r="M604" s="68" t="s">
        <v>736</v>
      </c>
    </row>
    <row r="605" spans="1:13">
      <c r="A605" s="87">
        <v>360</v>
      </c>
      <c r="B605" s="88">
        <v>10008000122</v>
      </c>
      <c r="C605" s="87">
        <v>7791843005026</v>
      </c>
      <c r="D605" s="88" t="s">
        <v>1236</v>
      </c>
      <c r="E605" s="89">
        <v>8537.66</v>
      </c>
      <c r="F605" s="89">
        <v>6403.2449999999999</v>
      </c>
      <c r="G605" s="60">
        <v>2134.415</v>
      </c>
      <c r="H605" s="91">
        <v>0.25</v>
      </c>
      <c r="I605" s="86" t="s">
        <v>18</v>
      </c>
      <c r="J605" s="86" t="s">
        <v>24</v>
      </c>
      <c r="K605" s="137">
        <v>46178</v>
      </c>
      <c r="L605" s="137">
        <v>46234</v>
      </c>
      <c r="M605" s="68" t="s">
        <v>736</v>
      </c>
    </row>
    <row r="606" spans="1:13">
      <c r="A606" s="87">
        <v>662527</v>
      </c>
      <c r="B606" s="88">
        <v>527</v>
      </c>
      <c r="C606" s="87">
        <v>7798152261372</v>
      </c>
      <c r="D606" s="88" t="s">
        <v>827</v>
      </c>
      <c r="E606" s="89">
        <v>31896.81</v>
      </c>
      <c r="F606" s="89">
        <v>28707.129000000001</v>
      </c>
      <c r="G606" s="60">
        <v>3189.6810000000005</v>
      </c>
      <c r="H606" s="91">
        <v>0.1</v>
      </c>
      <c r="I606" s="86" t="s">
        <v>18</v>
      </c>
      <c r="J606" s="86" t="s">
        <v>23</v>
      </c>
      <c r="K606" s="137">
        <v>46178</v>
      </c>
      <c r="L606" s="137">
        <v>46234</v>
      </c>
      <c r="M606" s="68" t="s">
        <v>736</v>
      </c>
    </row>
    <row r="607" spans="1:13">
      <c r="A607" s="87">
        <v>662524</v>
      </c>
      <c r="B607" s="88">
        <v>524</v>
      </c>
      <c r="C607" s="87">
        <v>7798152262218</v>
      </c>
      <c r="D607" s="88" t="s">
        <v>828</v>
      </c>
      <c r="E607" s="89">
        <v>22338.29</v>
      </c>
      <c r="F607" s="89">
        <v>20104.461000000003</v>
      </c>
      <c r="G607" s="60">
        <v>2233.8289999999979</v>
      </c>
      <c r="H607" s="91">
        <v>0.1</v>
      </c>
      <c r="I607" s="86" t="s">
        <v>18</v>
      </c>
      <c r="J607" s="86" t="s">
        <v>23</v>
      </c>
      <c r="K607" s="137">
        <v>46178</v>
      </c>
      <c r="L607" s="137">
        <v>46234</v>
      </c>
      <c r="M607" s="68" t="s">
        <v>736</v>
      </c>
    </row>
    <row r="608" spans="1:13">
      <c r="A608" s="87">
        <v>12024</v>
      </c>
      <c r="B608" s="88">
        <v>35631</v>
      </c>
      <c r="C608" s="87">
        <v>7790314006364</v>
      </c>
      <c r="D608" s="88" t="s">
        <v>1237</v>
      </c>
      <c r="E608" s="89">
        <v>16227.57</v>
      </c>
      <c r="F608" s="89">
        <v>12170.6775</v>
      </c>
      <c r="G608" s="60">
        <v>4056.8924999999999</v>
      </c>
      <c r="H608" s="91">
        <v>0.25</v>
      </c>
      <c r="I608" s="86" t="s">
        <v>18</v>
      </c>
      <c r="J608" s="86" t="s">
        <v>24</v>
      </c>
      <c r="K608" s="137">
        <v>46178</v>
      </c>
      <c r="L608" s="137">
        <v>46234</v>
      </c>
      <c r="M608" s="68" t="s">
        <v>736</v>
      </c>
    </row>
    <row r="609" spans="1:13">
      <c r="A609" s="87">
        <v>665046</v>
      </c>
      <c r="B609" s="88">
        <v>0</v>
      </c>
      <c r="C609" s="87">
        <v>7791843025987</v>
      </c>
      <c r="D609" s="88" t="s">
        <v>1096</v>
      </c>
      <c r="E609" s="89">
        <v>8911.0360000000001</v>
      </c>
      <c r="F609" s="89">
        <v>7128.8288000000002</v>
      </c>
      <c r="G609" s="60">
        <v>1782.2071999999998</v>
      </c>
      <c r="H609" s="91">
        <v>0.2</v>
      </c>
      <c r="I609" s="86" t="s">
        <v>18</v>
      </c>
      <c r="J609" s="86" t="s">
        <v>75</v>
      </c>
      <c r="K609" s="137">
        <v>46178</v>
      </c>
      <c r="L609" s="137">
        <v>46234</v>
      </c>
      <c r="M609" s="68" t="s">
        <v>736</v>
      </c>
    </row>
    <row r="610" spans="1:13">
      <c r="A610" s="87">
        <v>665048</v>
      </c>
      <c r="B610" s="88">
        <v>0</v>
      </c>
      <c r="C610" s="87">
        <v>7791843025963</v>
      </c>
      <c r="D610" s="88" t="s">
        <v>1097</v>
      </c>
      <c r="E610" s="89">
        <v>8911.0360000000001</v>
      </c>
      <c r="F610" s="89">
        <v>7128.8288000000002</v>
      </c>
      <c r="G610" s="60">
        <v>1782.2071999999998</v>
      </c>
      <c r="H610" s="91">
        <v>0.2</v>
      </c>
      <c r="I610" s="86" t="s">
        <v>18</v>
      </c>
      <c r="J610" s="86" t="s">
        <v>75</v>
      </c>
      <c r="K610" s="137">
        <v>46178</v>
      </c>
      <c r="L610" s="137">
        <v>46234</v>
      </c>
      <c r="M610" s="68" t="s">
        <v>736</v>
      </c>
    </row>
    <row r="611" spans="1:13">
      <c r="A611" s="87">
        <v>665047</v>
      </c>
      <c r="B611" s="88">
        <v>0</v>
      </c>
      <c r="C611" s="87">
        <v>7791843025949</v>
      </c>
      <c r="D611" s="88" t="s">
        <v>1098</v>
      </c>
      <c r="E611" s="89">
        <v>8911.0360000000001</v>
      </c>
      <c r="F611" s="89">
        <v>7128.8288000000002</v>
      </c>
      <c r="G611" s="60">
        <v>1782.2071999999998</v>
      </c>
      <c r="H611" s="91">
        <v>0.2</v>
      </c>
      <c r="I611" s="86" t="s">
        <v>18</v>
      </c>
      <c r="J611" s="86" t="s">
        <v>75</v>
      </c>
      <c r="K611" s="137">
        <v>46178</v>
      </c>
      <c r="L611" s="137">
        <v>46234</v>
      </c>
      <c r="M611" s="68" t="s">
        <v>736</v>
      </c>
    </row>
    <row r="612" spans="1:13">
      <c r="A612" s="87">
        <v>665947</v>
      </c>
      <c r="B612" s="88">
        <v>947</v>
      </c>
      <c r="C612" s="87">
        <v>7798152264342</v>
      </c>
      <c r="D612" s="88" t="s">
        <v>829</v>
      </c>
      <c r="E612" s="89">
        <v>22843.59</v>
      </c>
      <c r="F612" s="89">
        <v>20559.231</v>
      </c>
      <c r="G612" s="60">
        <v>2284.3590000000004</v>
      </c>
      <c r="H612" s="91">
        <v>0.1</v>
      </c>
      <c r="I612" s="86" t="s">
        <v>18</v>
      </c>
      <c r="J612" s="86" t="s">
        <v>23</v>
      </c>
      <c r="K612" s="137">
        <v>46178</v>
      </c>
      <c r="L612" s="137">
        <v>46234</v>
      </c>
      <c r="M612" s="68" t="s">
        <v>736</v>
      </c>
    </row>
    <row r="613" spans="1:13">
      <c r="A613" s="87">
        <v>665946</v>
      </c>
      <c r="B613" s="88">
        <v>946</v>
      </c>
      <c r="C613" s="87">
        <v>7798152264359</v>
      </c>
      <c r="D613" s="88" t="s">
        <v>830</v>
      </c>
      <c r="E613" s="89">
        <v>22843.59</v>
      </c>
      <c r="F613" s="89">
        <v>20559.231</v>
      </c>
      <c r="G613" s="60">
        <v>2284.3590000000004</v>
      </c>
      <c r="H613" s="91">
        <v>0.1</v>
      </c>
      <c r="I613" s="86" t="s">
        <v>18</v>
      </c>
      <c r="J613" s="86" t="s">
        <v>23</v>
      </c>
      <c r="K613" s="137">
        <v>46178</v>
      </c>
      <c r="L613" s="137">
        <v>46234</v>
      </c>
      <c r="M613" s="68" t="s">
        <v>736</v>
      </c>
    </row>
    <row r="614" spans="1:13">
      <c r="A614" s="87">
        <v>665255</v>
      </c>
      <c r="B614" s="88">
        <v>100187776</v>
      </c>
      <c r="C614" s="87">
        <v>7791728249309</v>
      </c>
      <c r="D614" s="88" t="s">
        <v>993</v>
      </c>
      <c r="E614" s="89">
        <v>99895.91</v>
      </c>
      <c r="F614" s="89">
        <v>84911.523499999996</v>
      </c>
      <c r="G614" s="60">
        <v>14984.386500000008</v>
      </c>
      <c r="H614" s="91">
        <v>0.15</v>
      </c>
      <c r="I614" s="86" t="s">
        <v>18</v>
      </c>
      <c r="J614" s="86" t="s">
        <v>70</v>
      </c>
      <c r="K614" s="137">
        <v>46178</v>
      </c>
      <c r="L614" s="137">
        <v>46234</v>
      </c>
      <c r="M614" s="68" t="s">
        <v>736</v>
      </c>
    </row>
    <row r="615" spans="1:13">
      <c r="A615" s="87">
        <v>6008</v>
      </c>
      <c r="B615" s="88" t="s">
        <v>1099</v>
      </c>
      <c r="C615" s="87">
        <v>7798074862152</v>
      </c>
      <c r="D615" s="88" t="s">
        <v>1100</v>
      </c>
      <c r="E615" s="89">
        <v>7239.6989999999996</v>
      </c>
      <c r="F615" s="89">
        <v>5791.7592000000004</v>
      </c>
      <c r="G615" s="60">
        <v>1447.9397999999992</v>
      </c>
      <c r="H615" s="91">
        <v>0.2</v>
      </c>
      <c r="I615" s="86" t="s">
        <v>18</v>
      </c>
      <c r="J615" s="86" t="s">
        <v>75</v>
      </c>
      <c r="K615" s="137">
        <v>46178</v>
      </c>
      <c r="L615" s="137">
        <v>46234</v>
      </c>
      <c r="M615" s="68" t="s">
        <v>736</v>
      </c>
    </row>
    <row r="616" spans="1:13">
      <c r="A616" s="87">
        <v>6038</v>
      </c>
      <c r="B616" s="88" t="s">
        <v>1101</v>
      </c>
      <c r="C616" s="87">
        <v>7798074862787</v>
      </c>
      <c r="D616" s="88" t="s">
        <v>1102</v>
      </c>
      <c r="E616" s="89">
        <v>7239.6989999999996</v>
      </c>
      <c r="F616" s="89">
        <v>5791.7592000000004</v>
      </c>
      <c r="G616" s="60">
        <v>1447.9397999999992</v>
      </c>
      <c r="H616" s="91">
        <v>0.2</v>
      </c>
      <c r="I616" s="86" t="s">
        <v>18</v>
      </c>
      <c r="J616" s="86" t="s">
        <v>75</v>
      </c>
      <c r="K616" s="137">
        <v>46178</v>
      </c>
      <c r="L616" s="137">
        <v>46234</v>
      </c>
      <c r="M616" s="68" t="s">
        <v>736</v>
      </c>
    </row>
    <row r="617" spans="1:13">
      <c r="A617" s="159">
        <v>666571</v>
      </c>
      <c r="B617" s="144">
        <v>121330644121</v>
      </c>
      <c r="C617" s="144">
        <v>7791203889389</v>
      </c>
      <c r="D617" s="138" t="s">
        <v>1294</v>
      </c>
      <c r="E617" s="142">
        <v>66150.009999999995</v>
      </c>
      <c r="F617" s="142">
        <v>59535.008999999998</v>
      </c>
      <c r="G617" s="143">
        <v>-6615.0009999999966</v>
      </c>
      <c r="H617" s="151">
        <v>0.1</v>
      </c>
      <c r="I617" s="147" t="s">
        <v>18</v>
      </c>
      <c r="J617" s="147" t="s">
        <v>23</v>
      </c>
      <c r="K617" s="148">
        <v>46206</v>
      </c>
      <c r="L617" s="148">
        <v>46234</v>
      </c>
      <c r="M617" s="166" t="s">
        <v>736</v>
      </c>
    </row>
    <row r="618" spans="1:13">
      <c r="A618" s="159">
        <v>666570</v>
      </c>
      <c r="B618" s="144">
        <v>121530644121</v>
      </c>
      <c r="C618" s="144">
        <v>7791203889402</v>
      </c>
      <c r="D618" s="138" t="s">
        <v>1295</v>
      </c>
      <c r="E618" s="142">
        <v>133987.5</v>
      </c>
      <c r="F618" s="142">
        <v>120588.75</v>
      </c>
      <c r="G618" s="143">
        <v>-13398.75</v>
      </c>
      <c r="H618" s="151">
        <v>0.1</v>
      </c>
      <c r="I618" s="147" t="s">
        <v>18</v>
      </c>
      <c r="J618" s="147" t="s">
        <v>23</v>
      </c>
      <c r="K618" s="148">
        <v>46206</v>
      </c>
      <c r="L618" s="148">
        <v>46234</v>
      </c>
      <c r="M618" s="166" t="s">
        <v>736</v>
      </c>
    </row>
    <row r="619" spans="1:13">
      <c r="A619" s="159">
        <v>660732</v>
      </c>
      <c r="B619" s="144">
        <v>1417103540021</v>
      </c>
      <c r="C619" s="144">
        <v>7791203000630</v>
      </c>
      <c r="D619" s="138" t="s">
        <v>1296</v>
      </c>
      <c r="E619" s="142">
        <v>35100.01</v>
      </c>
      <c r="F619" s="142">
        <v>31590.009000000002</v>
      </c>
      <c r="G619" s="143">
        <v>-3510.0010000000002</v>
      </c>
      <c r="H619" s="151">
        <v>0.1</v>
      </c>
      <c r="I619" s="147" t="s">
        <v>18</v>
      </c>
      <c r="J619" s="147" t="s">
        <v>23</v>
      </c>
      <c r="K619" s="148">
        <v>46206</v>
      </c>
      <c r="L619" s="148">
        <v>46234</v>
      </c>
      <c r="M619" s="166" t="s">
        <v>736</v>
      </c>
    </row>
    <row r="620" spans="1:13">
      <c r="A620" s="159">
        <v>8323</v>
      </c>
      <c r="B620" s="144">
        <v>1415102540021</v>
      </c>
      <c r="C620" s="144">
        <v>7791203000043</v>
      </c>
      <c r="D620" s="138" t="s">
        <v>1297</v>
      </c>
      <c r="E620" s="142">
        <v>17685</v>
      </c>
      <c r="F620" s="142">
        <v>15916.5</v>
      </c>
      <c r="G620" s="143">
        <v>-1768.5</v>
      </c>
      <c r="H620" s="151">
        <v>0.1</v>
      </c>
      <c r="I620" s="147" t="s">
        <v>18</v>
      </c>
      <c r="J620" s="147" t="s">
        <v>23</v>
      </c>
      <c r="K620" s="148">
        <v>46206</v>
      </c>
      <c r="L620" s="148">
        <v>46234</v>
      </c>
      <c r="M620" s="166" t="s">
        <v>736</v>
      </c>
    </row>
    <row r="621" spans="1:13">
      <c r="A621" s="159">
        <v>666572</v>
      </c>
      <c r="B621" s="144">
        <v>1315306541</v>
      </c>
      <c r="C621" s="144">
        <v>7791203002412</v>
      </c>
      <c r="D621" s="138" t="s">
        <v>1298</v>
      </c>
      <c r="E621" s="142">
        <v>42660</v>
      </c>
      <c r="F621" s="142">
        <v>38394</v>
      </c>
      <c r="G621" s="143">
        <v>-4266</v>
      </c>
      <c r="H621" s="151">
        <v>0.1</v>
      </c>
      <c r="I621" s="147" t="s">
        <v>18</v>
      </c>
      <c r="J621" s="147" t="s">
        <v>23</v>
      </c>
      <c r="K621" s="148">
        <v>46206</v>
      </c>
      <c r="L621" s="148">
        <v>46234</v>
      </c>
      <c r="M621" s="166" t="s">
        <v>736</v>
      </c>
    </row>
    <row r="622" spans="1:13">
      <c r="A622" s="87">
        <v>665529</v>
      </c>
      <c r="B622" s="88">
        <v>3131</v>
      </c>
      <c r="C622" s="87">
        <v>7798126082309</v>
      </c>
      <c r="D622" s="88" t="s">
        <v>831</v>
      </c>
      <c r="E622" s="89">
        <v>16717.36</v>
      </c>
      <c r="F622" s="89">
        <v>15045.624000000002</v>
      </c>
      <c r="G622" s="60">
        <v>1671.735999999999</v>
      </c>
      <c r="H622" s="91">
        <v>0.1</v>
      </c>
      <c r="I622" s="86" t="s">
        <v>18</v>
      </c>
      <c r="J622" s="86" t="s">
        <v>23</v>
      </c>
      <c r="K622" s="137">
        <v>46178</v>
      </c>
      <c r="L622" s="137">
        <v>46234</v>
      </c>
      <c r="M622" s="68" t="s">
        <v>736</v>
      </c>
    </row>
    <row r="623" spans="1:13">
      <c r="A623" s="87">
        <v>660389</v>
      </c>
      <c r="B623" s="88">
        <v>0</v>
      </c>
      <c r="C623" s="87">
        <v>7798126082644</v>
      </c>
      <c r="D623" s="88" t="s">
        <v>832</v>
      </c>
      <c r="E623" s="89">
        <v>18319.099999999999</v>
      </c>
      <c r="F623" s="89">
        <v>16487.189999999999</v>
      </c>
      <c r="G623" s="60">
        <v>1831.9099999999999</v>
      </c>
      <c r="H623" s="91">
        <v>0.1</v>
      </c>
      <c r="I623" s="86" t="s">
        <v>18</v>
      </c>
      <c r="J623" s="86" t="s">
        <v>23</v>
      </c>
      <c r="K623" s="137">
        <v>46178</v>
      </c>
      <c r="L623" s="137">
        <v>46234</v>
      </c>
      <c r="M623" s="68" t="s">
        <v>736</v>
      </c>
    </row>
    <row r="624" spans="1:13">
      <c r="A624" s="87">
        <v>660391</v>
      </c>
      <c r="B624" s="88">
        <v>0</v>
      </c>
      <c r="C624" s="87">
        <v>7794450093509</v>
      </c>
      <c r="D624" s="88" t="s">
        <v>833</v>
      </c>
      <c r="E624" s="89">
        <v>18319.13</v>
      </c>
      <c r="F624" s="89">
        <v>16487.217000000001</v>
      </c>
      <c r="G624" s="60">
        <v>1831.9130000000005</v>
      </c>
      <c r="H624" s="91">
        <v>0.1</v>
      </c>
      <c r="I624" s="86" t="s">
        <v>18</v>
      </c>
      <c r="J624" s="86" t="s">
        <v>23</v>
      </c>
      <c r="K624" s="137">
        <v>46178</v>
      </c>
      <c r="L624" s="137">
        <v>46234</v>
      </c>
      <c r="M624" s="68" t="s">
        <v>736</v>
      </c>
    </row>
    <row r="625" spans="1:13">
      <c r="A625" s="87">
        <v>660390</v>
      </c>
      <c r="B625" s="88">
        <v>300210502</v>
      </c>
      <c r="C625" s="87">
        <v>7794450093516</v>
      </c>
      <c r="D625" s="88" t="s">
        <v>834</v>
      </c>
      <c r="E625" s="89">
        <v>18319.13</v>
      </c>
      <c r="F625" s="89">
        <v>16487.217000000001</v>
      </c>
      <c r="G625" s="60">
        <v>1831.9130000000005</v>
      </c>
      <c r="H625" s="91">
        <v>0.1</v>
      </c>
      <c r="I625" s="86" t="s">
        <v>18</v>
      </c>
      <c r="J625" s="86" t="s">
        <v>23</v>
      </c>
      <c r="K625" s="137">
        <v>46178</v>
      </c>
      <c r="L625" s="137">
        <v>46234</v>
      </c>
      <c r="M625" s="68" t="s">
        <v>736</v>
      </c>
    </row>
    <row r="626" spans="1:13">
      <c r="A626" s="87">
        <v>666699</v>
      </c>
      <c r="B626" s="88">
        <v>0</v>
      </c>
      <c r="C626" s="87">
        <v>7798152262300</v>
      </c>
      <c r="D626" s="88" t="s">
        <v>835</v>
      </c>
      <c r="E626" s="89">
        <v>7162.9920000000002</v>
      </c>
      <c r="F626" s="89">
        <v>6446.6928000000007</v>
      </c>
      <c r="G626" s="60">
        <v>716.29919999999947</v>
      </c>
      <c r="H626" s="91">
        <v>0.1</v>
      </c>
      <c r="I626" s="86" t="s">
        <v>18</v>
      </c>
      <c r="J626" s="86" t="s">
        <v>23</v>
      </c>
      <c r="K626" s="137">
        <v>46178</v>
      </c>
      <c r="L626" s="137">
        <v>46234</v>
      </c>
      <c r="M626" s="68" t="s">
        <v>736</v>
      </c>
    </row>
    <row r="627" spans="1:13">
      <c r="A627" s="159">
        <v>5188</v>
      </c>
      <c r="B627" s="144">
        <v>18113025401</v>
      </c>
      <c r="C627" s="144">
        <v>7791203000852</v>
      </c>
      <c r="D627" s="138" t="s">
        <v>1299</v>
      </c>
      <c r="E627" s="142">
        <v>10423.879999999999</v>
      </c>
      <c r="F627" s="142">
        <v>9381.4920000000002</v>
      </c>
      <c r="G627" s="143">
        <v>-1042.387999999999</v>
      </c>
      <c r="H627" s="151">
        <v>0.1</v>
      </c>
      <c r="I627" s="147" t="s">
        <v>18</v>
      </c>
      <c r="J627" s="147" t="s">
        <v>23</v>
      </c>
      <c r="K627" s="148">
        <v>46206</v>
      </c>
      <c r="L627" s="148">
        <v>46234</v>
      </c>
      <c r="M627" s="166" t="s">
        <v>736</v>
      </c>
    </row>
    <row r="628" spans="1:13">
      <c r="A628" s="159">
        <v>11072</v>
      </c>
      <c r="B628" s="144">
        <v>1811101540121</v>
      </c>
      <c r="C628" s="144">
        <v>7791203000524</v>
      </c>
      <c r="D628" s="138" t="s">
        <v>1300</v>
      </c>
      <c r="E628" s="142">
        <v>10423.879999999999</v>
      </c>
      <c r="F628" s="142">
        <v>9381.4920000000002</v>
      </c>
      <c r="G628" s="143">
        <v>-1042.387999999999</v>
      </c>
      <c r="H628" s="151">
        <v>0.1</v>
      </c>
      <c r="I628" s="147" t="s">
        <v>18</v>
      </c>
      <c r="J628" s="147" t="s">
        <v>23</v>
      </c>
      <c r="K628" s="148">
        <v>46206</v>
      </c>
      <c r="L628" s="148">
        <v>46234</v>
      </c>
      <c r="M628" s="166" t="s">
        <v>736</v>
      </c>
    </row>
    <row r="629" spans="1:13">
      <c r="A629" s="159">
        <v>665385</v>
      </c>
      <c r="B629" s="144">
        <v>181135254</v>
      </c>
      <c r="C629" s="144">
        <v>7791203003358</v>
      </c>
      <c r="D629" s="138" t="s">
        <v>1301</v>
      </c>
      <c r="E629" s="142">
        <v>10423.879999999999</v>
      </c>
      <c r="F629" s="142">
        <v>9381.4920000000002</v>
      </c>
      <c r="G629" s="143">
        <v>-1042.387999999999</v>
      </c>
      <c r="H629" s="151">
        <v>0.1</v>
      </c>
      <c r="I629" s="147" t="s">
        <v>18</v>
      </c>
      <c r="J629" s="147" t="s">
        <v>23</v>
      </c>
      <c r="K629" s="148">
        <v>46206</v>
      </c>
      <c r="L629" s="148">
        <v>46234</v>
      </c>
      <c r="M629" s="166" t="s">
        <v>736</v>
      </c>
    </row>
    <row r="630" spans="1:13">
      <c r="A630" s="87">
        <v>663883</v>
      </c>
      <c r="B630" s="88">
        <v>3570</v>
      </c>
      <c r="C630" s="87">
        <v>7798123973570</v>
      </c>
      <c r="D630" s="88" t="s">
        <v>1103</v>
      </c>
      <c r="E630" s="89">
        <v>25160.63</v>
      </c>
      <c r="F630" s="89">
        <v>20128.504000000001</v>
      </c>
      <c r="G630" s="60">
        <v>5032.1260000000002</v>
      </c>
      <c r="H630" s="91">
        <v>0.2</v>
      </c>
      <c r="I630" s="86" t="s">
        <v>18</v>
      </c>
      <c r="J630" s="86" t="s">
        <v>75</v>
      </c>
      <c r="K630" s="137">
        <v>46178</v>
      </c>
      <c r="L630" s="137">
        <v>46234</v>
      </c>
      <c r="M630" s="68" t="s">
        <v>736</v>
      </c>
    </row>
    <row r="631" spans="1:13">
      <c r="A631" s="87">
        <v>658260</v>
      </c>
      <c r="B631" s="88">
        <v>155900</v>
      </c>
      <c r="C631" s="87">
        <v>7790415131217</v>
      </c>
      <c r="D631" s="88" t="s">
        <v>1104</v>
      </c>
      <c r="E631" s="89">
        <v>6029.9920000000002</v>
      </c>
      <c r="F631" s="89">
        <v>4823.9936000000007</v>
      </c>
      <c r="G631" s="60">
        <v>1205.9983999999995</v>
      </c>
      <c r="H631" s="91">
        <v>0.2</v>
      </c>
      <c r="I631" s="86" t="s">
        <v>18</v>
      </c>
      <c r="J631" s="86" t="s">
        <v>75</v>
      </c>
      <c r="K631" s="137">
        <v>46178</v>
      </c>
      <c r="L631" s="137">
        <v>46234</v>
      </c>
      <c r="M631" s="68" t="s">
        <v>736</v>
      </c>
    </row>
    <row r="632" spans="1:13">
      <c r="A632" s="87">
        <v>662554</v>
      </c>
      <c r="B632" s="88">
        <v>150800</v>
      </c>
      <c r="C632" s="87">
        <v>6625541111110</v>
      </c>
      <c r="D632" s="88" t="s">
        <v>1105</v>
      </c>
      <c r="E632" s="89">
        <v>6029.9920000000002</v>
      </c>
      <c r="F632" s="89">
        <v>4823.9936000000007</v>
      </c>
      <c r="G632" s="60">
        <v>1205.9983999999995</v>
      </c>
      <c r="H632" s="91">
        <v>0.2</v>
      </c>
      <c r="I632" s="86" t="s">
        <v>18</v>
      </c>
      <c r="J632" s="86" t="s">
        <v>75</v>
      </c>
      <c r="K632" s="137">
        <v>46178</v>
      </c>
      <c r="L632" s="137">
        <v>46234</v>
      </c>
      <c r="M632" s="68" t="s">
        <v>736</v>
      </c>
    </row>
    <row r="633" spans="1:13">
      <c r="A633" s="87">
        <v>14270</v>
      </c>
      <c r="B633" s="88">
        <v>155950</v>
      </c>
      <c r="C633" s="87">
        <v>7790415131194</v>
      </c>
      <c r="D633" s="88" t="s">
        <v>1106</v>
      </c>
      <c r="E633" s="89">
        <v>6029.9920000000002</v>
      </c>
      <c r="F633" s="89">
        <v>4823.9936000000007</v>
      </c>
      <c r="G633" s="60">
        <v>1205.9983999999995</v>
      </c>
      <c r="H633" s="91">
        <v>0.2</v>
      </c>
      <c r="I633" s="86" t="s">
        <v>18</v>
      </c>
      <c r="J633" s="86" t="s">
        <v>75</v>
      </c>
      <c r="K633" s="137">
        <v>46178</v>
      </c>
      <c r="L633" s="137">
        <v>46234</v>
      </c>
      <c r="M633" s="68" t="s">
        <v>736</v>
      </c>
    </row>
    <row r="634" spans="1:13">
      <c r="A634" s="87">
        <v>659683</v>
      </c>
      <c r="B634" s="88">
        <v>155850</v>
      </c>
      <c r="C634" s="87">
        <v>7790415130739</v>
      </c>
      <c r="D634" s="88" t="s">
        <v>1107</v>
      </c>
      <c r="E634" s="89">
        <v>6029.9920000000002</v>
      </c>
      <c r="F634" s="89">
        <v>4823.9936000000007</v>
      </c>
      <c r="G634" s="60">
        <v>1205.9983999999995</v>
      </c>
      <c r="H634" s="91">
        <v>0.2</v>
      </c>
      <c r="I634" s="86" t="s">
        <v>18</v>
      </c>
      <c r="J634" s="86" t="s">
        <v>75</v>
      </c>
      <c r="K634" s="137">
        <v>46178</v>
      </c>
      <c r="L634" s="137">
        <v>46234</v>
      </c>
      <c r="M634" s="68" t="s">
        <v>736</v>
      </c>
    </row>
    <row r="635" spans="1:13">
      <c r="A635" s="87">
        <v>1023</v>
      </c>
      <c r="B635" s="88">
        <v>3913</v>
      </c>
      <c r="C635" s="87">
        <v>7790336039104</v>
      </c>
      <c r="D635" s="88" t="s">
        <v>1108</v>
      </c>
      <c r="E635" s="89">
        <v>5279.8649999999998</v>
      </c>
      <c r="F635" s="89">
        <v>4223.8919999999998</v>
      </c>
      <c r="G635" s="60">
        <v>1055.973</v>
      </c>
      <c r="H635" s="91">
        <v>0.2</v>
      </c>
      <c r="I635" s="86" t="s">
        <v>18</v>
      </c>
      <c r="J635" s="86" t="s">
        <v>75</v>
      </c>
      <c r="K635" s="137">
        <v>46178</v>
      </c>
      <c r="L635" s="137">
        <v>46234</v>
      </c>
      <c r="M635" s="68" t="s">
        <v>736</v>
      </c>
    </row>
    <row r="636" spans="1:13">
      <c r="A636" s="87">
        <v>18343</v>
      </c>
      <c r="B636" s="88">
        <v>3234</v>
      </c>
      <c r="C636" s="87">
        <v>7798090160225</v>
      </c>
      <c r="D636" s="88" t="s">
        <v>1238</v>
      </c>
      <c r="E636" s="89">
        <v>4165.393</v>
      </c>
      <c r="F636" s="89">
        <v>3124.04475</v>
      </c>
      <c r="G636" s="60">
        <v>1041.34825</v>
      </c>
      <c r="H636" s="91">
        <v>0.25</v>
      </c>
      <c r="I636" s="86" t="s">
        <v>18</v>
      </c>
      <c r="J636" s="86" t="s">
        <v>24</v>
      </c>
      <c r="K636" s="137">
        <v>46178</v>
      </c>
      <c r="L636" s="137">
        <v>46234</v>
      </c>
      <c r="M636" s="68" t="s">
        <v>736</v>
      </c>
    </row>
    <row r="637" spans="1:13">
      <c r="A637" s="87">
        <v>666589</v>
      </c>
      <c r="B637" s="88">
        <v>2887</v>
      </c>
      <c r="C637" s="87">
        <v>736684256715</v>
      </c>
      <c r="D637" s="88" t="s">
        <v>836</v>
      </c>
      <c r="E637" s="89">
        <v>4930.4610000000002</v>
      </c>
      <c r="F637" s="89">
        <v>4437.4149000000007</v>
      </c>
      <c r="G637" s="60">
        <v>493.04609999999957</v>
      </c>
      <c r="H637" s="91">
        <v>0.1</v>
      </c>
      <c r="I637" s="86" t="s">
        <v>18</v>
      </c>
      <c r="J637" s="86" t="s">
        <v>23</v>
      </c>
      <c r="K637" s="137">
        <v>46178</v>
      </c>
      <c r="L637" s="137">
        <v>46234</v>
      </c>
      <c r="M637" s="68" t="s">
        <v>736</v>
      </c>
    </row>
    <row r="638" spans="1:13">
      <c r="A638" s="87">
        <v>666588</v>
      </c>
      <c r="B638" s="88">
        <v>2886</v>
      </c>
      <c r="C638" s="87">
        <v>736684256708</v>
      </c>
      <c r="D638" s="88" t="s">
        <v>837</v>
      </c>
      <c r="E638" s="89">
        <v>4930.4610000000002</v>
      </c>
      <c r="F638" s="89">
        <v>4437.4149000000007</v>
      </c>
      <c r="G638" s="60">
        <v>493.04609999999957</v>
      </c>
      <c r="H638" s="91">
        <v>0.1</v>
      </c>
      <c r="I638" s="86" t="s">
        <v>18</v>
      </c>
      <c r="J638" s="86" t="s">
        <v>23</v>
      </c>
      <c r="K638" s="137">
        <v>46178</v>
      </c>
      <c r="L638" s="137">
        <v>46234</v>
      </c>
      <c r="M638" s="68" t="s">
        <v>736</v>
      </c>
    </row>
    <row r="639" spans="1:13">
      <c r="A639" s="87">
        <v>660583</v>
      </c>
      <c r="B639" s="88">
        <v>83248</v>
      </c>
      <c r="C639" s="87">
        <v>7790314072352</v>
      </c>
      <c r="D639" s="88" t="s">
        <v>1239</v>
      </c>
      <c r="E639" s="89">
        <v>13967.89</v>
      </c>
      <c r="F639" s="89">
        <v>10475.9175</v>
      </c>
      <c r="G639" s="60">
        <v>3491.9724999999999</v>
      </c>
      <c r="H639" s="91">
        <v>0.25</v>
      </c>
      <c r="I639" s="86" t="s">
        <v>18</v>
      </c>
      <c r="J639" s="86" t="s">
        <v>24</v>
      </c>
      <c r="K639" s="137">
        <v>46178</v>
      </c>
      <c r="L639" s="137">
        <v>46234</v>
      </c>
      <c r="M639" s="68" t="s">
        <v>736</v>
      </c>
    </row>
    <row r="640" spans="1:13">
      <c r="A640" s="87">
        <v>18281</v>
      </c>
      <c r="B640" s="88">
        <v>74583</v>
      </c>
      <c r="C640" s="87">
        <v>7791540149351</v>
      </c>
      <c r="D640" s="88" t="s">
        <v>838</v>
      </c>
      <c r="E640" s="89">
        <v>9343.8490000000002</v>
      </c>
      <c r="F640" s="89">
        <v>8409.4641000000011</v>
      </c>
      <c r="G640" s="60">
        <v>934.38489999999911</v>
      </c>
      <c r="H640" s="91">
        <v>0.1</v>
      </c>
      <c r="I640" s="86" t="s">
        <v>18</v>
      </c>
      <c r="J640" s="86" t="s">
        <v>23</v>
      </c>
      <c r="K640" s="137">
        <v>46178</v>
      </c>
      <c r="L640" s="137">
        <v>46234</v>
      </c>
      <c r="M640" s="68" t="s">
        <v>736</v>
      </c>
    </row>
    <row r="641" spans="1:13">
      <c r="A641" s="87">
        <v>665353</v>
      </c>
      <c r="B641" s="88" t="s">
        <v>1109</v>
      </c>
      <c r="C641" s="87">
        <v>7798078238052</v>
      </c>
      <c r="D641" s="88" t="s">
        <v>1110</v>
      </c>
      <c r="E641" s="89">
        <v>5849.8180000000002</v>
      </c>
      <c r="F641" s="89">
        <v>4679.8544000000002</v>
      </c>
      <c r="G641" s="60">
        <v>1169.9636</v>
      </c>
      <c r="H641" s="91">
        <v>0.2</v>
      </c>
      <c r="I641" s="86" t="s">
        <v>18</v>
      </c>
      <c r="J641" s="86" t="s">
        <v>75</v>
      </c>
      <c r="K641" s="137">
        <v>46178</v>
      </c>
      <c r="L641" s="137">
        <v>46234</v>
      </c>
      <c r="M641" s="68" t="s">
        <v>736</v>
      </c>
    </row>
    <row r="642" spans="1:13">
      <c r="A642" s="144">
        <v>666458</v>
      </c>
      <c r="B642" s="138" t="s">
        <v>994</v>
      </c>
      <c r="C642" s="144">
        <v>7792319971784</v>
      </c>
      <c r="D642" s="138" t="s">
        <v>995</v>
      </c>
      <c r="E642" s="142">
        <v>27546.73</v>
      </c>
      <c r="F642" s="142">
        <v>23414.720499999999</v>
      </c>
      <c r="G642" s="143">
        <v>4132.0095000000001</v>
      </c>
      <c r="H642" s="149">
        <v>0.15</v>
      </c>
      <c r="I642" s="147" t="s">
        <v>18</v>
      </c>
      <c r="J642" s="147" t="s">
        <v>70</v>
      </c>
      <c r="K642" s="148">
        <v>46206</v>
      </c>
      <c r="L642" s="148">
        <v>46234</v>
      </c>
      <c r="M642" s="68" t="s">
        <v>736</v>
      </c>
    </row>
    <row r="643" spans="1:13">
      <c r="A643" s="144">
        <v>666457</v>
      </c>
      <c r="B643" s="138" t="s">
        <v>996</v>
      </c>
      <c r="C643" s="144">
        <v>7792319003904</v>
      </c>
      <c r="D643" s="138" t="s">
        <v>997</v>
      </c>
      <c r="E643" s="142">
        <v>27134.6</v>
      </c>
      <c r="F643" s="142">
        <v>23064.41</v>
      </c>
      <c r="G643" s="143">
        <v>4070.1899999999987</v>
      </c>
      <c r="H643" s="149">
        <v>0.15</v>
      </c>
      <c r="I643" s="147" t="s">
        <v>18</v>
      </c>
      <c r="J643" s="147" t="s">
        <v>70</v>
      </c>
      <c r="K643" s="148">
        <v>46206</v>
      </c>
      <c r="L643" s="148">
        <v>46234</v>
      </c>
      <c r="M643" s="68" t="s">
        <v>736</v>
      </c>
    </row>
    <row r="644" spans="1:13">
      <c r="A644" s="87">
        <v>663456</v>
      </c>
      <c r="B644" s="88" t="s">
        <v>839</v>
      </c>
      <c r="C644" s="87">
        <v>7794450946423</v>
      </c>
      <c r="D644" s="88" t="s">
        <v>840</v>
      </c>
      <c r="E644" s="89">
        <v>51248.99</v>
      </c>
      <c r="F644" s="89">
        <v>46124.091</v>
      </c>
      <c r="G644" s="60">
        <v>5124.8989999999976</v>
      </c>
      <c r="H644" s="91">
        <v>0.1</v>
      </c>
      <c r="I644" s="86" t="s">
        <v>18</v>
      </c>
      <c r="J644" s="86" t="s">
        <v>23</v>
      </c>
      <c r="K644" s="137">
        <v>46178</v>
      </c>
      <c r="L644" s="137">
        <v>46234</v>
      </c>
      <c r="M644" s="68" t="s">
        <v>736</v>
      </c>
    </row>
    <row r="645" spans="1:13">
      <c r="A645" s="87">
        <v>660469</v>
      </c>
      <c r="B645" s="88">
        <v>0</v>
      </c>
      <c r="C645" s="87">
        <v>7798126080213</v>
      </c>
      <c r="D645" s="88" t="s">
        <v>841</v>
      </c>
      <c r="E645" s="89">
        <v>35449.300000000003</v>
      </c>
      <c r="F645" s="89">
        <v>31904.370000000003</v>
      </c>
      <c r="G645" s="60">
        <v>3544.9300000000003</v>
      </c>
      <c r="H645" s="91">
        <v>0.1</v>
      </c>
      <c r="I645" s="86" t="s">
        <v>18</v>
      </c>
      <c r="J645" s="86" t="s">
        <v>23</v>
      </c>
      <c r="K645" s="137">
        <v>46178</v>
      </c>
      <c r="L645" s="137">
        <v>46234</v>
      </c>
      <c r="M645" s="68" t="s">
        <v>736</v>
      </c>
    </row>
    <row r="646" spans="1:13">
      <c r="A646" s="87">
        <v>662400</v>
      </c>
      <c r="B646" s="88">
        <v>179</v>
      </c>
      <c r="C646" s="87">
        <v>7798110811557</v>
      </c>
      <c r="D646" s="88" t="s">
        <v>1240</v>
      </c>
      <c r="E646" s="89">
        <v>8550.0010000000002</v>
      </c>
      <c r="F646" s="89">
        <v>6412.5007500000002</v>
      </c>
      <c r="G646" s="60">
        <v>2137.5002500000001</v>
      </c>
      <c r="H646" s="91">
        <v>0.25</v>
      </c>
      <c r="I646" s="86" t="s">
        <v>18</v>
      </c>
      <c r="J646" s="86" t="s">
        <v>24</v>
      </c>
      <c r="K646" s="137">
        <v>46178</v>
      </c>
      <c r="L646" s="137">
        <v>46234</v>
      </c>
      <c r="M646" s="68" t="s">
        <v>736</v>
      </c>
    </row>
    <row r="647" spans="1:13">
      <c r="A647" s="87">
        <v>662399</v>
      </c>
      <c r="B647" s="88">
        <v>177</v>
      </c>
      <c r="C647" s="87">
        <v>7798110811540</v>
      </c>
      <c r="D647" s="88" t="s">
        <v>1241</v>
      </c>
      <c r="E647" s="89">
        <v>8550.0010000000002</v>
      </c>
      <c r="F647" s="89">
        <v>6412.5007500000002</v>
      </c>
      <c r="G647" s="60">
        <v>2137.5002500000001</v>
      </c>
      <c r="H647" s="91">
        <v>0.25</v>
      </c>
      <c r="I647" s="86" t="s">
        <v>18</v>
      </c>
      <c r="J647" s="86" t="s">
        <v>24</v>
      </c>
      <c r="K647" s="137">
        <v>46178</v>
      </c>
      <c r="L647" s="137">
        <v>46234</v>
      </c>
      <c r="M647" s="68" t="s">
        <v>736</v>
      </c>
    </row>
    <row r="648" spans="1:13">
      <c r="A648" s="87">
        <v>662397</v>
      </c>
      <c r="B648" s="88">
        <v>173</v>
      </c>
      <c r="C648" s="87">
        <v>7798110811670</v>
      </c>
      <c r="D648" s="88" t="s">
        <v>1242</v>
      </c>
      <c r="E648" s="89">
        <v>5732.9970000000003</v>
      </c>
      <c r="F648" s="89">
        <v>4299.7477500000005</v>
      </c>
      <c r="G648" s="60">
        <v>1433.2492499999998</v>
      </c>
      <c r="H648" s="91">
        <v>0.25</v>
      </c>
      <c r="I648" s="86" t="s">
        <v>18</v>
      </c>
      <c r="J648" s="86" t="s">
        <v>24</v>
      </c>
      <c r="K648" s="137">
        <v>46178</v>
      </c>
      <c r="L648" s="137">
        <v>46234</v>
      </c>
      <c r="M648" s="68" t="s">
        <v>736</v>
      </c>
    </row>
    <row r="649" spans="1:13">
      <c r="A649" s="87">
        <v>662396</v>
      </c>
      <c r="B649" s="88">
        <v>170</v>
      </c>
      <c r="C649" s="87">
        <v>7798110811632</v>
      </c>
      <c r="D649" s="88" t="s">
        <v>1243</v>
      </c>
      <c r="E649" s="89">
        <v>5732.9970000000003</v>
      </c>
      <c r="F649" s="89">
        <v>4299.7477500000005</v>
      </c>
      <c r="G649" s="60">
        <v>1433.2492499999998</v>
      </c>
      <c r="H649" s="91">
        <v>0.25</v>
      </c>
      <c r="I649" s="86" t="s">
        <v>18</v>
      </c>
      <c r="J649" s="86" t="s">
        <v>24</v>
      </c>
      <c r="K649" s="137">
        <v>46178</v>
      </c>
      <c r="L649" s="137">
        <v>46234</v>
      </c>
      <c r="M649" s="68" t="s">
        <v>736</v>
      </c>
    </row>
    <row r="650" spans="1:13">
      <c r="A650" s="87">
        <v>662398</v>
      </c>
      <c r="B650" s="88">
        <v>176</v>
      </c>
      <c r="C650" s="87">
        <v>7798110811649</v>
      </c>
      <c r="D650" s="88" t="s">
        <v>1244</v>
      </c>
      <c r="E650" s="89">
        <v>5732.9970000000003</v>
      </c>
      <c r="F650" s="89">
        <v>4299.7477500000005</v>
      </c>
      <c r="G650" s="60">
        <v>1433.2492499999998</v>
      </c>
      <c r="H650" s="91">
        <v>0.25</v>
      </c>
      <c r="I650" s="86" t="s">
        <v>18</v>
      </c>
      <c r="J650" s="86" t="s">
        <v>24</v>
      </c>
      <c r="K650" s="137">
        <v>46178</v>
      </c>
      <c r="L650" s="137">
        <v>46234</v>
      </c>
      <c r="M650" s="68" t="s">
        <v>736</v>
      </c>
    </row>
    <row r="651" spans="1:13">
      <c r="A651" s="87">
        <v>665252</v>
      </c>
      <c r="B651" s="88">
        <v>100105309</v>
      </c>
      <c r="C651" s="87">
        <v>7791728002478</v>
      </c>
      <c r="D651" s="88" t="s">
        <v>998</v>
      </c>
      <c r="E651" s="89">
        <v>20880.009999999998</v>
      </c>
      <c r="F651" s="89">
        <v>17748.0085</v>
      </c>
      <c r="G651" s="60">
        <v>3132.0014999999985</v>
      </c>
      <c r="H651" s="91">
        <v>0.15</v>
      </c>
      <c r="I651" s="86" t="s">
        <v>18</v>
      </c>
      <c r="J651" s="86" t="s">
        <v>70</v>
      </c>
      <c r="K651" s="137">
        <v>46178</v>
      </c>
      <c r="L651" s="137">
        <v>46234</v>
      </c>
      <c r="M651" s="68" t="s">
        <v>736</v>
      </c>
    </row>
    <row r="652" spans="1:13">
      <c r="A652" s="87">
        <v>665698</v>
      </c>
      <c r="B652" s="88">
        <v>100105314</v>
      </c>
      <c r="C652" s="87">
        <v>7791728018868</v>
      </c>
      <c r="D652" s="88" t="s">
        <v>999</v>
      </c>
      <c r="E652" s="89">
        <v>18269.990000000002</v>
      </c>
      <c r="F652" s="89">
        <v>15529.4915</v>
      </c>
      <c r="G652" s="60">
        <v>2740.4985000000015</v>
      </c>
      <c r="H652" s="91">
        <v>0.15</v>
      </c>
      <c r="I652" s="86" t="s">
        <v>18</v>
      </c>
      <c r="J652" s="86" t="s">
        <v>70</v>
      </c>
      <c r="K652" s="137">
        <v>46178</v>
      </c>
      <c r="L652" s="137">
        <v>46234</v>
      </c>
      <c r="M652" s="68" t="s">
        <v>736</v>
      </c>
    </row>
    <row r="653" spans="1:13">
      <c r="A653" s="87">
        <v>660547</v>
      </c>
      <c r="B653" s="88">
        <v>0</v>
      </c>
      <c r="C653" s="87">
        <v>7798159946630</v>
      </c>
      <c r="D653" s="88" t="s">
        <v>842</v>
      </c>
      <c r="E653" s="89">
        <v>56400</v>
      </c>
      <c r="F653" s="89">
        <v>50760</v>
      </c>
      <c r="G653" s="60">
        <v>5640</v>
      </c>
      <c r="H653" s="91">
        <v>0.1</v>
      </c>
      <c r="I653" s="86" t="s">
        <v>18</v>
      </c>
      <c r="J653" s="86" t="s">
        <v>23</v>
      </c>
      <c r="K653" s="137">
        <v>46178</v>
      </c>
      <c r="L653" s="137">
        <v>46234</v>
      </c>
      <c r="M653" s="68" t="s">
        <v>736</v>
      </c>
    </row>
    <row r="654" spans="1:13">
      <c r="A654" s="87">
        <v>663825</v>
      </c>
      <c r="B654" s="88">
        <v>3605</v>
      </c>
      <c r="C654" s="87">
        <v>7798348710080</v>
      </c>
      <c r="D654" s="88" t="s">
        <v>1245</v>
      </c>
      <c r="E654" s="89">
        <v>9557.6479999999992</v>
      </c>
      <c r="F654" s="89">
        <v>7168.235999999999</v>
      </c>
      <c r="G654" s="60">
        <v>2389.4120000000003</v>
      </c>
      <c r="H654" s="91">
        <v>0.25</v>
      </c>
      <c r="I654" s="86" t="s">
        <v>18</v>
      </c>
      <c r="J654" s="86" t="s">
        <v>24</v>
      </c>
      <c r="K654" s="137">
        <v>46178</v>
      </c>
      <c r="L654" s="137">
        <v>46234</v>
      </c>
      <c r="M654" s="68" t="s">
        <v>736</v>
      </c>
    </row>
    <row r="655" spans="1:13">
      <c r="A655" s="87">
        <v>664073</v>
      </c>
      <c r="B655" s="88">
        <v>3608</v>
      </c>
      <c r="C655" s="87">
        <v>7798348710059</v>
      </c>
      <c r="D655" s="88" t="s">
        <v>1246</v>
      </c>
      <c r="E655" s="89">
        <v>9557.6479999999992</v>
      </c>
      <c r="F655" s="89">
        <v>7168.235999999999</v>
      </c>
      <c r="G655" s="60">
        <v>2389.4120000000003</v>
      </c>
      <c r="H655" s="91">
        <v>0.25</v>
      </c>
      <c r="I655" s="86" t="s">
        <v>18</v>
      </c>
      <c r="J655" s="86" t="s">
        <v>24</v>
      </c>
      <c r="K655" s="137">
        <v>46178</v>
      </c>
      <c r="L655" s="137">
        <v>46234</v>
      </c>
      <c r="M655" s="68" t="s">
        <v>736</v>
      </c>
    </row>
    <row r="656" spans="1:13">
      <c r="A656" s="87">
        <v>666060</v>
      </c>
      <c r="B656" s="88">
        <v>0</v>
      </c>
      <c r="C656" s="87">
        <v>7798126084181</v>
      </c>
      <c r="D656" s="88" t="s">
        <v>843</v>
      </c>
      <c r="E656" s="89">
        <v>20270.79</v>
      </c>
      <c r="F656" s="89">
        <v>18243.711000000003</v>
      </c>
      <c r="G656" s="60">
        <v>2027.0789999999979</v>
      </c>
      <c r="H656" s="91">
        <v>0.1</v>
      </c>
      <c r="I656" s="86" t="s">
        <v>18</v>
      </c>
      <c r="J656" s="86" t="s">
        <v>23</v>
      </c>
      <c r="K656" s="137">
        <v>46178</v>
      </c>
      <c r="L656" s="137">
        <v>46234</v>
      </c>
      <c r="M656" s="68" t="s">
        <v>736</v>
      </c>
    </row>
    <row r="657" spans="1:13">
      <c r="A657" s="87">
        <v>666649</v>
      </c>
      <c r="B657" s="88" t="s">
        <v>1278</v>
      </c>
      <c r="C657" s="87">
        <v>7798078230322</v>
      </c>
      <c r="D657" s="88" t="s">
        <v>1279</v>
      </c>
      <c r="E657" s="89">
        <v>6210.0630000000001</v>
      </c>
      <c r="F657" s="89">
        <v>3105.0315000000001</v>
      </c>
      <c r="G657" s="60">
        <v>3105.0315000000001</v>
      </c>
      <c r="H657" s="141">
        <v>0.5</v>
      </c>
      <c r="I657" s="86" t="s">
        <v>15</v>
      </c>
      <c r="J657" s="86" t="s">
        <v>640</v>
      </c>
      <c r="K657" s="137">
        <v>46178</v>
      </c>
      <c r="L657" s="137">
        <v>46234</v>
      </c>
      <c r="M657" s="68" t="s">
        <v>736</v>
      </c>
    </row>
    <row r="658" spans="1:13">
      <c r="A658" s="87">
        <v>666650</v>
      </c>
      <c r="B658" s="88">
        <v>0</v>
      </c>
      <c r="C658" s="87">
        <v>7798078231657</v>
      </c>
      <c r="D658" s="88" t="s">
        <v>1280</v>
      </c>
      <c r="E658" s="89">
        <v>6210.0630000000001</v>
      </c>
      <c r="F658" s="89">
        <v>3105.0315000000001</v>
      </c>
      <c r="G658" s="60">
        <v>3105.0315000000001</v>
      </c>
      <c r="H658" s="141">
        <v>0.5</v>
      </c>
      <c r="I658" s="86" t="s">
        <v>15</v>
      </c>
      <c r="J658" s="86" t="s">
        <v>640</v>
      </c>
      <c r="K658" s="137">
        <v>46178</v>
      </c>
      <c r="L658" s="137">
        <v>46234</v>
      </c>
      <c r="M658" s="68" t="s">
        <v>736</v>
      </c>
    </row>
    <row r="659" spans="1:13">
      <c r="A659" s="87">
        <v>666651</v>
      </c>
      <c r="B659" s="88" t="s">
        <v>1281</v>
      </c>
      <c r="C659" s="87">
        <v>7798078230315</v>
      </c>
      <c r="D659" s="88" t="s">
        <v>1282</v>
      </c>
      <c r="E659" s="89">
        <v>6210.0630000000001</v>
      </c>
      <c r="F659" s="89">
        <v>3105.0315000000001</v>
      </c>
      <c r="G659" s="60">
        <v>3105.0315000000001</v>
      </c>
      <c r="H659" s="141">
        <v>0.5</v>
      </c>
      <c r="I659" s="86" t="s">
        <v>15</v>
      </c>
      <c r="J659" s="86" t="s">
        <v>640</v>
      </c>
      <c r="K659" s="137">
        <v>46178</v>
      </c>
      <c r="L659" s="137">
        <v>46234</v>
      </c>
      <c r="M659" s="68" t="s">
        <v>736</v>
      </c>
    </row>
    <row r="660" spans="1:13">
      <c r="A660" s="87">
        <v>660010</v>
      </c>
      <c r="B660" s="88">
        <v>104</v>
      </c>
      <c r="C660" s="87">
        <v>7790415129832</v>
      </c>
      <c r="D660" s="88" t="s">
        <v>1111</v>
      </c>
      <c r="E660" s="89">
        <v>51300</v>
      </c>
      <c r="F660" s="89">
        <v>41040</v>
      </c>
      <c r="G660" s="60">
        <v>10260</v>
      </c>
      <c r="H660" s="91">
        <v>0.2</v>
      </c>
      <c r="I660" s="86" t="s">
        <v>18</v>
      </c>
      <c r="J660" s="86" t="s">
        <v>75</v>
      </c>
      <c r="K660" s="137">
        <v>46178</v>
      </c>
      <c r="L660" s="137">
        <v>46234</v>
      </c>
      <c r="M660" s="68" t="s">
        <v>736</v>
      </c>
    </row>
    <row r="661" spans="1:13">
      <c r="A661" s="87">
        <v>662738</v>
      </c>
      <c r="B661" s="88">
        <v>4232</v>
      </c>
      <c r="C661" s="87">
        <v>7798123974232</v>
      </c>
      <c r="D661" s="88" t="s">
        <v>1247</v>
      </c>
      <c r="E661" s="89">
        <v>7618.8829999999998</v>
      </c>
      <c r="F661" s="89">
        <v>5714.1622499999994</v>
      </c>
      <c r="G661" s="60">
        <v>1904.7207500000004</v>
      </c>
      <c r="H661" s="91">
        <v>0.25</v>
      </c>
      <c r="I661" s="86" t="s">
        <v>18</v>
      </c>
      <c r="J661" s="86" t="s">
        <v>24</v>
      </c>
      <c r="K661" s="137">
        <v>46178</v>
      </c>
      <c r="L661" s="137">
        <v>46234</v>
      </c>
      <c r="M661" s="68" t="s">
        <v>736</v>
      </c>
    </row>
    <row r="662" spans="1:13">
      <c r="A662" s="87">
        <v>662739</v>
      </c>
      <c r="B662" s="88">
        <v>0</v>
      </c>
      <c r="C662" s="87">
        <v>7798123974263</v>
      </c>
      <c r="D662" s="88" t="s">
        <v>1248</v>
      </c>
      <c r="E662" s="89">
        <v>7618.9350000000004</v>
      </c>
      <c r="F662" s="89">
        <v>5714.2012500000001</v>
      </c>
      <c r="G662" s="60">
        <v>1904.7337500000003</v>
      </c>
      <c r="H662" s="91">
        <v>0.25</v>
      </c>
      <c r="I662" s="86" t="s">
        <v>18</v>
      </c>
      <c r="J662" s="86" t="s">
        <v>24</v>
      </c>
      <c r="K662" s="137">
        <v>46178</v>
      </c>
      <c r="L662" s="137">
        <v>46234</v>
      </c>
      <c r="M662" s="68" t="s">
        <v>736</v>
      </c>
    </row>
    <row r="663" spans="1:13">
      <c r="A663" s="87">
        <v>17828</v>
      </c>
      <c r="B663" s="88">
        <v>11570</v>
      </c>
      <c r="C663" s="87">
        <v>7798051304743</v>
      </c>
      <c r="D663" s="88" t="s">
        <v>1283</v>
      </c>
      <c r="E663" s="89">
        <v>7967.43</v>
      </c>
      <c r="F663" s="89">
        <v>3983.7150000000001</v>
      </c>
      <c r="G663" s="60">
        <v>3983.7150000000001</v>
      </c>
      <c r="H663" s="141">
        <v>0.5</v>
      </c>
      <c r="I663" s="86" t="s">
        <v>15</v>
      </c>
      <c r="J663" s="86" t="s">
        <v>640</v>
      </c>
      <c r="K663" s="137">
        <v>46178</v>
      </c>
      <c r="L663" s="137">
        <v>46234</v>
      </c>
      <c r="M663" s="68" t="s">
        <v>736</v>
      </c>
    </row>
    <row r="664" spans="1:13">
      <c r="A664" s="87">
        <v>431</v>
      </c>
      <c r="B664" s="88">
        <v>11572</v>
      </c>
      <c r="C664" s="87">
        <v>7798051304828</v>
      </c>
      <c r="D664" s="88" t="s">
        <v>1284</v>
      </c>
      <c r="E664" s="89">
        <v>9053.9050000000007</v>
      </c>
      <c r="F664" s="89">
        <v>4526.9525000000003</v>
      </c>
      <c r="G664" s="60">
        <v>4526.9525000000003</v>
      </c>
      <c r="H664" s="141">
        <v>0.5</v>
      </c>
      <c r="I664" s="86" t="s">
        <v>15</v>
      </c>
      <c r="J664" s="86" t="s">
        <v>640</v>
      </c>
      <c r="K664" s="137">
        <v>46178</v>
      </c>
      <c r="L664" s="137">
        <v>46234</v>
      </c>
      <c r="M664" s="68" t="s">
        <v>736</v>
      </c>
    </row>
    <row r="665" spans="1:13">
      <c r="A665" s="87">
        <v>1015</v>
      </c>
      <c r="B665" s="88">
        <v>666</v>
      </c>
      <c r="C665" s="87">
        <v>7790470083223</v>
      </c>
      <c r="D665" s="88" t="s">
        <v>1285</v>
      </c>
      <c r="E665" s="89">
        <v>5000</v>
      </c>
      <c r="F665" s="89">
        <v>2500</v>
      </c>
      <c r="G665" s="60">
        <v>2500</v>
      </c>
      <c r="H665" s="141">
        <v>0.5</v>
      </c>
      <c r="I665" s="86" t="s">
        <v>15</v>
      </c>
      <c r="J665" s="86" t="s">
        <v>640</v>
      </c>
      <c r="K665" s="137">
        <v>46178</v>
      </c>
      <c r="L665" s="137">
        <v>46234</v>
      </c>
      <c r="M665" s="68" t="s">
        <v>736</v>
      </c>
    </row>
    <row r="666" spans="1:13">
      <c r="A666" s="87">
        <v>2436</v>
      </c>
      <c r="B666" s="88">
        <v>667</v>
      </c>
      <c r="C666" s="87">
        <v>7790470083100</v>
      </c>
      <c r="D666" s="88" t="s">
        <v>1286</v>
      </c>
      <c r="E666" s="89">
        <v>5000</v>
      </c>
      <c r="F666" s="89">
        <v>2500</v>
      </c>
      <c r="G666" s="60">
        <v>2500</v>
      </c>
      <c r="H666" s="141">
        <v>0.5</v>
      </c>
      <c r="I666" s="86" t="s">
        <v>15</v>
      </c>
      <c r="J666" s="86" t="s">
        <v>640</v>
      </c>
      <c r="K666" s="137">
        <v>46178</v>
      </c>
      <c r="L666" s="137">
        <v>46234</v>
      </c>
      <c r="M666" s="68" t="s">
        <v>736</v>
      </c>
    </row>
    <row r="667" spans="1:13">
      <c r="A667" s="87">
        <v>657486</v>
      </c>
      <c r="B667" s="88">
        <v>665</v>
      </c>
      <c r="C667" s="87">
        <v>7790470083247</v>
      </c>
      <c r="D667" s="88" t="s">
        <v>1287</v>
      </c>
      <c r="E667" s="89">
        <v>5000</v>
      </c>
      <c r="F667" s="89">
        <v>2500</v>
      </c>
      <c r="G667" s="60">
        <v>2500</v>
      </c>
      <c r="H667" s="141">
        <v>0.5</v>
      </c>
      <c r="I667" s="86" t="s">
        <v>15</v>
      </c>
      <c r="J667" s="86" t="s">
        <v>640</v>
      </c>
      <c r="K667" s="137">
        <v>46178</v>
      </c>
      <c r="L667" s="137">
        <v>46234</v>
      </c>
      <c r="M667" s="68" t="s">
        <v>736</v>
      </c>
    </row>
    <row r="668" spans="1:13">
      <c r="A668" s="87">
        <v>660546</v>
      </c>
      <c r="B668" s="88">
        <v>284796</v>
      </c>
      <c r="C668" s="87">
        <v>7798353191867</v>
      </c>
      <c r="D668" s="88" t="s">
        <v>844</v>
      </c>
      <c r="E668" s="89">
        <v>39519.99</v>
      </c>
      <c r="F668" s="89">
        <v>35567.991000000002</v>
      </c>
      <c r="G668" s="60">
        <v>3951.9989999999962</v>
      </c>
      <c r="H668" s="91">
        <v>0.1</v>
      </c>
      <c r="I668" s="86" t="s">
        <v>18</v>
      </c>
      <c r="J668" s="86" t="s">
        <v>23</v>
      </c>
      <c r="K668" s="137">
        <v>46178</v>
      </c>
      <c r="L668" s="137">
        <v>46234</v>
      </c>
      <c r="M668" s="68" t="s">
        <v>736</v>
      </c>
    </row>
    <row r="669" spans="1:13">
      <c r="A669" s="87">
        <v>1591</v>
      </c>
      <c r="B669" s="88">
        <v>69482</v>
      </c>
      <c r="C669" s="87">
        <v>7798159942670</v>
      </c>
      <c r="D669" s="88" t="s">
        <v>845</v>
      </c>
      <c r="E669" s="89">
        <v>18880.009999999998</v>
      </c>
      <c r="F669" s="89">
        <v>16992.008999999998</v>
      </c>
      <c r="G669" s="60">
        <v>1888.0010000000002</v>
      </c>
      <c r="H669" s="91">
        <v>0.1</v>
      </c>
      <c r="I669" s="86" t="s">
        <v>18</v>
      </c>
      <c r="J669" s="86" t="s">
        <v>23</v>
      </c>
      <c r="K669" s="137">
        <v>46178</v>
      </c>
      <c r="L669" s="137">
        <v>46234</v>
      </c>
      <c r="M669" s="68" t="s">
        <v>736</v>
      </c>
    </row>
    <row r="670" spans="1:13">
      <c r="A670" s="87">
        <v>101417</v>
      </c>
      <c r="B670" s="88">
        <v>80020</v>
      </c>
      <c r="C670" s="87">
        <v>7791250001727</v>
      </c>
      <c r="D670" s="88" t="s">
        <v>846</v>
      </c>
      <c r="E670" s="89">
        <v>7477.8680000000004</v>
      </c>
      <c r="F670" s="89">
        <v>6730.0812000000005</v>
      </c>
      <c r="G670" s="60">
        <v>747.78679999999986</v>
      </c>
      <c r="H670" s="91">
        <v>0.1</v>
      </c>
      <c r="I670" s="86" t="s">
        <v>18</v>
      </c>
      <c r="J670" s="86" t="s">
        <v>23</v>
      </c>
      <c r="K670" s="137">
        <v>46178</v>
      </c>
      <c r="L670" s="137">
        <v>46234</v>
      </c>
      <c r="M670" s="68" t="s">
        <v>736</v>
      </c>
    </row>
    <row r="671" spans="1:13">
      <c r="A671" s="87">
        <v>14422</v>
      </c>
      <c r="B671" s="88">
        <v>80030</v>
      </c>
      <c r="C671" s="87">
        <v>7790649000143</v>
      </c>
      <c r="D671" s="88" t="s">
        <v>847</v>
      </c>
      <c r="E671" s="89">
        <v>9737.4050000000007</v>
      </c>
      <c r="F671" s="89">
        <v>8763.6645000000008</v>
      </c>
      <c r="G671" s="60">
        <v>973.74049999999988</v>
      </c>
      <c r="H671" s="91">
        <v>0.1</v>
      </c>
      <c r="I671" s="86" t="s">
        <v>18</v>
      </c>
      <c r="J671" s="86" t="s">
        <v>23</v>
      </c>
      <c r="K671" s="137">
        <v>46178</v>
      </c>
      <c r="L671" s="137">
        <v>46234</v>
      </c>
      <c r="M671" s="68" t="s">
        <v>736</v>
      </c>
    </row>
    <row r="672" spans="1:13">
      <c r="A672" s="87">
        <v>14421</v>
      </c>
      <c r="B672" s="88">
        <v>80032</v>
      </c>
      <c r="C672" s="87">
        <v>7790649000129</v>
      </c>
      <c r="D672" s="88" t="s">
        <v>848</v>
      </c>
      <c r="E672" s="89">
        <v>9737.4050000000007</v>
      </c>
      <c r="F672" s="89">
        <v>8763.6645000000008</v>
      </c>
      <c r="G672" s="60">
        <v>973.74049999999988</v>
      </c>
      <c r="H672" s="91">
        <v>0.1</v>
      </c>
      <c r="I672" s="86" t="s">
        <v>18</v>
      </c>
      <c r="J672" s="86" t="s">
        <v>23</v>
      </c>
      <c r="K672" s="137">
        <v>46178</v>
      </c>
      <c r="L672" s="137">
        <v>46234</v>
      </c>
      <c r="M672" s="68" t="s">
        <v>736</v>
      </c>
    </row>
    <row r="673" spans="1:13">
      <c r="A673" s="144">
        <v>17398</v>
      </c>
      <c r="B673" s="138">
        <v>76085</v>
      </c>
      <c r="C673" s="144">
        <v>7793440003023</v>
      </c>
      <c r="D673" s="138" t="s">
        <v>849</v>
      </c>
      <c r="E673" s="142">
        <v>10337.129999999999</v>
      </c>
      <c r="F673" s="142">
        <v>9303.4169999999995</v>
      </c>
      <c r="G673" s="143">
        <v>1033.7129999999997</v>
      </c>
      <c r="H673" s="149">
        <v>0.1</v>
      </c>
      <c r="I673" s="147" t="s">
        <v>18</v>
      </c>
      <c r="J673" s="147" t="s">
        <v>23</v>
      </c>
      <c r="K673" s="148">
        <v>46206</v>
      </c>
      <c r="L673" s="148">
        <v>46234</v>
      </c>
      <c r="M673" s="138" t="s">
        <v>736</v>
      </c>
    </row>
    <row r="674" spans="1:13">
      <c r="A674" s="87">
        <v>13324</v>
      </c>
      <c r="B674" s="88">
        <v>77212</v>
      </c>
      <c r="C674" s="87">
        <v>7793440703398</v>
      </c>
      <c r="D674" s="88" t="s">
        <v>850</v>
      </c>
      <c r="E674" s="89">
        <v>9636.92</v>
      </c>
      <c r="F674" s="89">
        <v>8673.228000000001</v>
      </c>
      <c r="G674" s="60">
        <v>963.6919999999991</v>
      </c>
      <c r="H674" s="91">
        <v>0.1</v>
      </c>
      <c r="I674" s="86" t="s">
        <v>18</v>
      </c>
      <c r="J674" s="86" t="s">
        <v>23</v>
      </c>
      <c r="K674" s="137">
        <v>46178</v>
      </c>
      <c r="L674" s="137">
        <v>46234</v>
      </c>
      <c r="M674" s="68" t="s">
        <v>736</v>
      </c>
    </row>
    <row r="675" spans="1:13">
      <c r="A675" s="144">
        <v>65652</v>
      </c>
      <c r="B675" s="138">
        <v>76080</v>
      </c>
      <c r="C675" s="144">
        <v>7793440000022</v>
      </c>
      <c r="D675" s="138" t="s">
        <v>851</v>
      </c>
      <c r="E675" s="142">
        <v>10317.92</v>
      </c>
      <c r="F675" s="142">
        <v>9286.1280000000006</v>
      </c>
      <c r="G675" s="143">
        <v>1031.7919999999995</v>
      </c>
      <c r="H675" s="149">
        <v>0.1</v>
      </c>
      <c r="I675" s="147" t="s">
        <v>18</v>
      </c>
      <c r="J675" s="147" t="s">
        <v>23</v>
      </c>
      <c r="K675" s="148">
        <v>46206</v>
      </c>
      <c r="L675" s="148">
        <v>46234</v>
      </c>
      <c r="M675" s="138" t="s">
        <v>736</v>
      </c>
    </row>
    <row r="676" spans="1:13">
      <c r="A676" s="144">
        <v>661928</v>
      </c>
      <c r="B676" s="138">
        <v>77514</v>
      </c>
      <c r="C676" s="144">
        <v>7793440002408</v>
      </c>
      <c r="D676" s="138" t="s">
        <v>852</v>
      </c>
      <c r="E676" s="142">
        <v>13394.95</v>
      </c>
      <c r="F676" s="142">
        <v>12055.455000000002</v>
      </c>
      <c r="G676" s="143">
        <v>1339.494999999999</v>
      </c>
      <c r="H676" s="149">
        <v>0.1</v>
      </c>
      <c r="I676" s="147" t="s">
        <v>18</v>
      </c>
      <c r="J676" s="147" t="s">
        <v>23</v>
      </c>
      <c r="K676" s="148">
        <v>46206</v>
      </c>
      <c r="L676" s="148">
        <v>46234</v>
      </c>
      <c r="M676" s="138" t="s">
        <v>736</v>
      </c>
    </row>
    <row r="677" spans="1:13">
      <c r="A677" s="87">
        <v>657987</v>
      </c>
      <c r="B677" s="88">
        <v>10010002322</v>
      </c>
      <c r="C677" s="87">
        <v>7791843009048</v>
      </c>
      <c r="D677" s="88" t="s">
        <v>1000</v>
      </c>
      <c r="E677" s="89">
        <v>3533.2820000000002</v>
      </c>
      <c r="F677" s="89">
        <v>3003.2897000000003</v>
      </c>
      <c r="G677" s="60">
        <v>529.99229999999989</v>
      </c>
      <c r="H677" s="91">
        <v>0.15</v>
      </c>
      <c r="I677" s="86" t="s">
        <v>18</v>
      </c>
      <c r="J677" s="86" t="s">
        <v>70</v>
      </c>
      <c r="K677" s="137">
        <v>46178</v>
      </c>
      <c r="L677" s="137">
        <v>46234</v>
      </c>
      <c r="M677" s="68" t="s">
        <v>736</v>
      </c>
    </row>
    <row r="678" spans="1:13">
      <c r="A678" s="87">
        <v>657414</v>
      </c>
      <c r="B678" s="88">
        <v>10010003822</v>
      </c>
      <c r="C678" s="87">
        <v>7791843008874</v>
      </c>
      <c r="D678" s="88" t="s">
        <v>1001</v>
      </c>
      <c r="E678" s="89">
        <v>3533.2820000000002</v>
      </c>
      <c r="F678" s="89">
        <v>3003.2897000000003</v>
      </c>
      <c r="G678" s="60">
        <v>529.99229999999989</v>
      </c>
      <c r="H678" s="91">
        <v>0.15</v>
      </c>
      <c r="I678" s="86" t="s">
        <v>18</v>
      </c>
      <c r="J678" s="86" t="s">
        <v>70</v>
      </c>
      <c r="K678" s="137">
        <v>46178</v>
      </c>
      <c r="L678" s="137">
        <v>46234</v>
      </c>
      <c r="M678" s="68" t="s">
        <v>736</v>
      </c>
    </row>
    <row r="679" spans="1:13">
      <c r="A679" s="87">
        <v>657411</v>
      </c>
      <c r="B679" s="88">
        <v>10010003722</v>
      </c>
      <c r="C679" s="87">
        <v>7791843009000</v>
      </c>
      <c r="D679" s="88" t="s">
        <v>1002</v>
      </c>
      <c r="E679" s="89">
        <v>3533.2820000000002</v>
      </c>
      <c r="F679" s="89">
        <v>3003.2897000000003</v>
      </c>
      <c r="G679" s="60">
        <v>529.99229999999989</v>
      </c>
      <c r="H679" s="91">
        <v>0.15</v>
      </c>
      <c r="I679" s="86" t="s">
        <v>18</v>
      </c>
      <c r="J679" s="86" t="s">
        <v>70</v>
      </c>
      <c r="K679" s="137">
        <v>46178</v>
      </c>
      <c r="L679" s="137">
        <v>46234</v>
      </c>
      <c r="M679" s="68" t="s">
        <v>736</v>
      </c>
    </row>
    <row r="680" spans="1:13">
      <c r="A680" s="87">
        <v>6201</v>
      </c>
      <c r="B680" s="88">
        <v>10010003422</v>
      </c>
      <c r="C680" s="87">
        <v>7791843009055</v>
      </c>
      <c r="D680" s="88" t="s">
        <v>1003</v>
      </c>
      <c r="E680" s="89">
        <v>3533.2820000000002</v>
      </c>
      <c r="F680" s="89">
        <v>3003.2897000000003</v>
      </c>
      <c r="G680" s="60">
        <v>529.99229999999989</v>
      </c>
      <c r="H680" s="91">
        <v>0.15</v>
      </c>
      <c r="I680" s="86" t="s">
        <v>18</v>
      </c>
      <c r="J680" s="86" t="s">
        <v>70</v>
      </c>
      <c r="K680" s="137">
        <v>46178</v>
      </c>
      <c r="L680" s="137">
        <v>46234</v>
      </c>
      <c r="M680" s="68" t="s">
        <v>736</v>
      </c>
    </row>
    <row r="681" spans="1:13">
      <c r="A681" s="87">
        <v>13290</v>
      </c>
      <c r="B681" s="88">
        <v>25773</v>
      </c>
      <c r="C681" s="87">
        <v>7790717153924</v>
      </c>
      <c r="D681" s="88" t="s">
        <v>1112</v>
      </c>
      <c r="E681" s="89">
        <v>6201.0770000000002</v>
      </c>
      <c r="F681" s="89">
        <v>4960.8616000000002</v>
      </c>
      <c r="G681" s="60">
        <v>1240.2154</v>
      </c>
      <c r="H681" s="91">
        <v>0.2</v>
      </c>
      <c r="I681" s="86" t="s">
        <v>18</v>
      </c>
      <c r="J681" s="86" t="s">
        <v>75</v>
      </c>
      <c r="K681" s="137">
        <v>46178</v>
      </c>
      <c r="L681" s="137">
        <v>46234</v>
      </c>
      <c r="M681" s="68" t="s">
        <v>736</v>
      </c>
    </row>
    <row r="682" spans="1:13">
      <c r="A682" s="87">
        <v>7242</v>
      </c>
      <c r="B682" s="88">
        <v>25768</v>
      </c>
      <c r="C682" s="87">
        <v>7790717153917</v>
      </c>
      <c r="D682" s="88" t="s">
        <v>1113</v>
      </c>
      <c r="E682" s="89">
        <v>6201.0770000000002</v>
      </c>
      <c r="F682" s="89">
        <v>4960.8616000000002</v>
      </c>
      <c r="G682" s="60">
        <v>1240.2154</v>
      </c>
      <c r="H682" s="91">
        <v>0.2</v>
      </c>
      <c r="I682" s="86" t="s">
        <v>18</v>
      </c>
      <c r="J682" s="86" t="s">
        <v>75</v>
      </c>
      <c r="K682" s="137">
        <v>46178</v>
      </c>
      <c r="L682" s="137">
        <v>46234</v>
      </c>
      <c r="M682" s="68" t="s">
        <v>736</v>
      </c>
    </row>
    <row r="683" spans="1:13">
      <c r="A683" s="87">
        <v>658332</v>
      </c>
      <c r="B683" s="88">
        <v>25775</v>
      </c>
      <c r="C683" s="87">
        <v>7790717153900</v>
      </c>
      <c r="D683" s="88" t="s">
        <v>1114</v>
      </c>
      <c r="E683" s="89">
        <v>6201.0770000000002</v>
      </c>
      <c r="F683" s="89">
        <v>4960.8616000000002</v>
      </c>
      <c r="G683" s="60">
        <v>1240.2154</v>
      </c>
      <c r="H683" s="91">
        <v>0.2</v>
      </c>
      <c r="I683" s="86" t="s">
        <v>18</v>
      </c>
      <c r="J683" s="86" t="s">
        <v>75</v>
      </c>
      <c r="K683" s="137">
        <v>46178</v>
      </c>
      <c r="L683" s="137">
        <v>46234</v>
      </c>
      <c r="M683" s="68" t="s">
        <v>736</v>
      </c>
    </row>
    <row r="684" spans="1:13">
      <c r="A684" s="87">
        <v>467</v>
      </c>
      <c r="B684" s="88" t="s">
        <v>1115</v>
      </c>
      <c r="C684" s="87">
        <v>7792319065315</v>
      </c>
      <c r="D684" s="88" t="s">
        <v>1116</v>
      </c>
      <c r="E684" s="89">
        <v>4387.6890000000003</v>
      </c>
      <c r="F684" s="89">
        <v>3510.1512000000002</v>
      </c>
      <c r="G684" s="60">
        <v>877.53780000000006</v>
      </c>
      <c r="H684" s="91">
        <v>0.2</v>
      </c>
      <c r="I684" s="86" t="s">
        <v>18</v>
      </c>
      <c r="J684" s="86" t="s">
        <v>75</v>
      </c>
      <c r="K684" s="137">
        <v>46178</v>
      </c>
      <c r="L684" s="137">
        <v>46234</v>
      </c>
      <c r="M684" s="68" t="s">
        <v>736</v>
      </c>
    </row>
    <row r="685" spans="1:13">
      <c r="A685" s="144">
        <v>3212</v>
      </c>
      <c r="B685" s="138" t="s">
        <v>1117</v>
      </c>
      <c r="C685" s="144">
        <v>7792319009937</v>
      </c>
      <c r="D685" s="138" t="s">
        <v>1118</v>
      </c>
      <c r="E685" s="142">
        <v>13149.8</v>
      </c>
      <c r="F685" s="142">
        <v>10519.84</v>
      </c>
      <c r="G685" s="143">
        <v>2629.9599999999991</v>
      </c>
      <c r="H685" s="149">
        <v>0.2</v>
      </c>
      <c r="I685" s="147" t="s">
        <v>18</v>
      </c>
      <c r="J685" s="147" t="s">
        <v>75</v>
      </c>
      <c r="K685" s="148">
        <v>46206</v>
      </c>
      <c r="L685" s="148">
        <v>46234</v>
      </c>
      <c r="M685" s="68" t="s">
        <v>736</v>
      </c>
    </row>
    <row r="686" spans="1:13">
      <c r="A686" s="144">
        <v>664139</v>
      </c>
      <c r="B686" s="138" t="s">
        <v>1119</v>
      </c>
      <c r="C686" s="144">
        <v>7792319970213</v>
      </c>
      <c r="D686" s="138" t="s">
        <v>1120</v>
      </c>
      <c r="E686" s="142">
        <v>8851.94</v>
      </c>
      <c r="F686" s="142">
        <v>7081.5520000000006</v>
      </c>
      <c r="G686" s="143">
        <v>1770.3879999999999</v>
      </c>
      <c r="H686" s="149">
        <v>0.2</v>
      </c>
      <c r="I686" s="147" t="s">
        <v>18</v>
      </c>
      <c r="J686" s="147" t="s">
        <v>75</v>
      </c>
      <c r="K686" s="148">
        <v>46206</v>
      </c>
      <c r="L686" s="148">
        <v>46234</v>
      </c>
      <c r="M686" s="68" t="s">
        <v>736</v>
      </c>
    </row>
    <row r="687" spans="1:13">
      <c r="A687" s="87">
        <v>664127</v>
      </c>
      <c r="B687" s="88" t="s">
        <v>1121</v>
      </c>
      <c r="C687" s="87">
        <v>7792319003928</v>
      </c>
      <c r="D687" s="88" t="s">
        <v>1122</v>
      </c>
      <c r="E687" s="89">
        <v>9848.3410000000003</v>
      </c>
      <c r="F687" s="89">
        <v>7878.6728000000003</v>
      </c>
      <c r="G687" s="60">
        <v>1969.6682000000001</v>
      </c>
      <c r="H687" s="91">
        <v>0.2</v>
      </c>
      <c r="I687" s="86" t="s">
        <v>18</v>
      </c>
      <c r="J687" s="86" t="s">
        <v>75</v>
      </c>
      <c r="K687" s="137">
        <v>46178</v>
      </c>
      <c r="L687" s="137">
        <v>46234</v>
      </c>
      <c r="M687" s="68" t="s">
        <v>736</v>
      </c>
    </row>
    <row r="688" spans="1:13">
      <c r="A688" s="144">
        <v>13508</v>
      </c>
      <c r="B688" s="138" t="s">
        <v>1123</v>
      </c>
      <c r="C688" s="144">
        <v>7792319678003</v>
      </c>
      <c r="D688" s="138" t="s">
        <v>1124</v>
      </c>
      <c r="E688" s="142">
        <v>10234.33</v>
      </c>
      <c r="F688" s="142">
        <v>8187.4639999999999</v>
      </c>
      <c r="G688" s="143">
        <v>2046.866</v>
      </c>
      <c r="H688" s="149">
        <v>0.2</v>
      </c>
      <c r="I688" s="147" t="s">
        <v>18</v>
      </c>
      <c r="J688" s="147" t="s">
        <v>75</v>
      </c>
      <c r="K688" s="148">
        <v>46206</v>
      </c>
      <c r="L688" s="148">
        <v>46234</v>
      </c>
      <c r="M688" s="68" t="s">
        <v>736</v>
      </c>
    </row>
    <row r="689" spans="1:13">
      <c r="A689" s="144">
        <v>664138</v>
      </c>
      <c r="B689" s="138" t="s">
        <v>1125</v>
      </c>
      <c r="C689" s="144">
        <v>7792319972811</v>
      </c>
      <c r="D689" s="138" t="s">
        <v>1126</v>
      </c>
      <c r="E689" s="142">
        <v>10234.33</v>
      </c>
      <c r="F689" s="142">
        <v>8187.4639999999999</v>
      </c>
      <c r="G689" s="143">
        <v>2046.866</v>
      </c>
      <c r="H689" s="149">
        <v>0.2</v>
      </c>
      <c r="I689" s="147" t="s">
        <v>18</v>
      </c>
      <c r="J689" s="147" t="s">
        <v>75</v>
      </c>
      <c r="K689" s="148">
        <v>46206</v>
      </c>
      <c r="L689" s="148">
        <v>46234</v>
      </c>
      <c r="M689" s="68" t="s">
        <v>736</v>
      </c>
    </row>
    <row r="690" spans="1:13">
      <c r="A690" s="144">
        <v>5111</v>
      </c>
      <c r="B690" s="138" t="s">
        <v>1127</v>
      </c>
      <c r="C690" s="144">
        <v>7792319678010</v>
      </c>
      <c r="D690" s="138" t="s">
        <v>1128</v>
      </c>
      <c r="E690" s="142">
        <v>10234.33</v>
      </c>
      <c r="F690" s="142">
        <v>8187.4639999999999</v>
      </c>
      <c r="G690" s="143">
        <v>2046.866</v>
      </c>
      <c r="H690" s="149">
        <v>0.2</v>
      </c>
      <c r="I690" s="147" t="s">
        <v>18</v>
      </c>
      <c r="J690" s="147" t="s">
        <v>75</v>
      </c>
      <c r="K690" s="148">
        <v>46206</v>
      </c>
      <c r="L690" s="148">
        <v>46234</v>
      </c>
      <c r="M690" s="68" t="s">
        <v>736</v>
      </c>
    </row>
    <row r="691" spans="1:13">
      <c r="A691" s="144">
        <v>664137</v>
      </c>
      <c r="B691" s="138" t="s">
        <v>1129</v>
      </c>
      <c r="C691" s="144">
        <v>7792319972835</v>
      </c>
      <c r="D691" s="138" t="s">
        <v>1130</v>
      </c>
      <c r="E691" s="142">
        <v>10234.33</v>
      </c>
      <c r="F691" s="142">
        <v>8187.4639999999999</v>
      </c>
      <c r="G691" s="143">
        <v>2046.866</v>
      </c>
      <c r="H691" s="149">
        <v>0.2</v>
      </c>
      <c r="I691" s="147" t="s">
        <v>18</v>
      </c>
      <c r="J691" s="147" t="s">
        <v>75</v>
      </c>
      <c r="K691" s="148">
        <v>46206</v>
      </c>
      <c r="L691" s="148">
        <v>46234</v>
      </c>
      <c r="M691" s="68" t="s">
        <v>736</v>
      </c>
    </row>
    <row r="692" spans="1:13">
      <c r="A692" s="87">
        <v>662048</v>
      </c>
      <c r="B692" s="88">
        <v>25640</v>
      </c>
      <c r="C692" s="87">
        <v>7790717153771</v>
      </c>
      <c r="D692" s="88" t="s">
        <v>1131</v>
      </c>
      <c r="E692" s="89">
        <v>4451.2790000000005</v>
      </c>
      <c r="F692" s="89">
        <v>3561.0232000000005</v>
      </c>
      <c r="G692" s="60">
        <v>890.25579999999991</v>
      </c>
      <c r="H692" s="91">
        <v>0.2</v>
      </c>
      <c r="I692" s="86" t="s">
        <v>18</v>
      </c>
      <c r="J692" s="86" t="s">
        <v>75</v>
      </c>
      <c r="K692" s="137">
        <v>46178</v>
      </c>
      <c r="L692" s="137">
        <v>46234</v>
      </c>
      <c r="M692" s="68" t="s">
        <v>736</v>
      </c>
    </row>
    <row r="693" spans="1:13">
      <c r="A693" s="87">
        <v>6324</v>
      </c>
      <c r="B693" s="88">
        <v>22329</v>
      </c>
      <c r="C693" s="87">
        <v>7790717152101</v>
      </c>
      <c r="D693" s="88" t="s">
        <v>1132</v>
      </c>
      <c r="E693" s="89">
        <v>4439.9210000000003</v>
      </c>
      <c r="F693" s="89">
        <v>3551.9368000000004</v>
      </c>
      <c r="G693" s="60">
        <v>887.98419999999987</v>
      </c>
      <c r="H693" s="91">
        <v>0.2</v>
      </c>
      <c r="I693" s="86" t="s">
        <v>18</v>
      </c>
      <c r="J693" s="86" t="s">
        <v>75</v>
      </c>
      <c r="K693" s="137">
        <v>46178</v>
      </c>
      <c r="L693" s="137">
        <v>46234</v>
      </c>
      <c r="M693" s="68" t="s">
        <v>736</v>
      </c>
    </row>
    <row r="694" spans="1:13">
      <c r="A694" s="87">
        <v>13896</v>
      </c>
      <c r="B694" s="88">
        <v>22321</v>
      </c>
      <c r="C694" s="87">
        <v>7790717153092</v>
      </c>
      <c r="D694" s="88" t="s">
        <v>1133</v>
      </c>
      <c r="E694" s="89">
        <v>4868.9340000000002</v>
      </c>
      <c r="F694" s="89">
        <v>3895.1472000000003</v>
      </c>
      <c r="G694" s="60">
        <v>973.78679999999986</v>
      </c>
      <c r="H694" s="91">
        <v>0.2</v>
      </c>
      <c r="I694" s="86" t="s">
        <v>18</v>
      </c>
      <c r="J694" s="86" t="s">
        <v>75</v>
      </c>
      <c r="K694" s="137">
        <v>46178</v>
      </c>
      <c r="L694" s="137">
        <v>46234</v>
      </c>
      <c r="M694" s="68" t="s">
        <v>736</v>
      </c>
    </row>
    <row r="695" spans="1:13">
      <c r="A695" s="87">
        <v>13895</v>
      </c>
      <c r="B695" s="88">
        <v>22328</v>
      </c>
      <c r="C695" s="87">
        <v>7790717153078</v>
      </c>
      <c r="D695" s="88" t="s">
        <v>1134</v>
      </c>
      <c r="E695" s="89">
        <v>4986.7960000000003</v>
      </c>
      <c r="F695" s="89">
        <v>3989.4368000000004</v>
      </c>
      <c r="G695" s="60">
        <v>997.35919999999987</v>
      </c>
      <c r="H695" s="91">
        <v>0.2</v>
      </c>
      <c r="I695" s="86" t="s">
        <v>18</v>
      </c>
      <c r="J695" s="86" t="s">
        <v>75</v>
      </c>
      <c r="K695" s="137">
        <v>46178</v>
      </c>
      <c r="L695" s="137">
        <v>46234</v>
      </c>
      <c r="M695" s="68" t="s">
        <v>736</v>
      </c>
    </row>
    <row r="696" spans="1:13">
      <c r="A696" s="87">
        <v>660437</v>
      </c>
      <c r="B696" s="88" t="s">
        <v>853</v>
      </c>
      <c r="C696" s="87">
        <v>7798074869304</v>
      </c>
      <c r="D696" s="88" t="s">
        <v>854</v>
      </c>
      <c r="E696" s="89">
        <v>17674.04</v>
      </c>
      <c r="F696" s="89">
        <v>15906.636</v>
      </c>
      <c r="G696" s="60">
        <v>1767.4040000000005</v>
      </c>
      <c r="H696" s="91">
        <v>0.1</v>
      </c>
      <c r="I696" s="86" t="s">
        <v>18</v>
      </c>
      <c r="J696" s="86" t="s">
        <v>23</v>
      </c>
      <c r="K696" s="137">
        <v>46178</v>
      </c>
      <c r="L696" s="137">
        <v>46234</v>
      </c>
      <c r="M696" s="68" t="s">
        <v>736</v>
      </c>
    </row>
    <row r="697" spans="1:13">
      <c r="A697" s="87">
        <v>660439</v>
      </c>
      <c r="B697" s="88" t="s">
        <v>855</v>
      </c>
      <c r="C697" s="87">
        <v>7798074869656</v>
      </c>
      <c r="D697" s="88" t="s">
        <v>856</v>
      </c>
      <c r="E697" s="89">
        <v>19744.650000000001</v>
      </c>
      <c r="F697" s="89">
        <v>17770.185000000001</v>
      </c>
      <c r="G697" s="60">
        <v>1974.4650000000001</v>
      </c>
      <c r="H697" s="91">
        <v>0.1</v>
      </c>
      <c r="I697" s="86" t="s">
        <v>18</v>
      </c>
      <c r="J697" s="86" t="s">
        <v>23</v>
      </c>
      <c r="K697" s="137">
        <v>46178</v>
      </c>
      <c r="L697" s="137">
        <v>46234</v>
      </c>
      <c r="M697" s="68" t="s">
        <v>736</v>
      </c>
    </row>
    <row r="698" spans="1:13">
      <c r="A698" s="87">
        <v>660438</v>
      </c>
      <c r="B698" s="88" t="s">
        <v>857</v>
      </c>
      <c r="C698" s="87">
        <v>7798074869311</v>
      </c>
      <c r="D698" s="88" t="s">
        <v>858</v>
      </c>
      <c r="E698" s="89">
        <v>15381.6</v>
      </c>
      <c r="F698" s="89">
        <v>13843.44</v>
      </c>
      <c r="G698" s="60">
        <v>1538.1599999999999</v>
      </c>
      <c r="H698" s="91">
        <v>0.1</v>
      </c>
      <c r="I698" s="86" t="s">
        <v>18</v>
      </c>
      <c r="J698" s="86" t="s">
        <v>23</v>
      </c>
      <c r="K698" s="137">
        <v>46178</v>
      </c>
      <c r="L698" s="137">
        <v>46234</v>
      </c>
      <c r="M698" s="68" t="s">
        <v>736</v>
      </c>
    </row>
    <row r="699" spans="1:13">
      <c r="A699" s="152">
        <v>664524</v>
      </c>
      <c r="B699" s="153">
        <v>12518</v>
      </c>
      <c r="C699" s="152">
        <v>7798081669164</v>
      </c>
      <c r="D699" s="153" t="s">
        <v>1335</v>
      </c>
      <c r="E699" s="154">
        <v>10216.44</v>
      </c>
      <c r="F699" s="154">
        <v>6811.3005480000002</v>
      </c>
      <c r="G699" s="143">
        <v>3212.3957283</v>
      </c>
      <c r="H699" s="158">
        <v>0.33329999999999999</v>
      </c>
      <c r="I699" s="156" t="s">
        <v>18</v>
      </c>
      <c r="J699" s="156" t="s">
        <v>1320</v>
      </c>
      <c r="K699" s="148">
        <v>46206</v>
      </c>
      <c r="L699" s="157">
        <v>46234</v>
      </c>
      <c r="M699" s="68" t="s">
        <v>736</v>
      </c>
    </row>
    <row r="700" spans="1:13">
      <c r="A700" s="87">
        <v>12023</v>
      </c>
      <c r="B700" s="88">
        <v>11561</v>
      </c>
      <c r="C700" s="87">
        <v>7798051300318</v>
      </c>
      <c r="D700" s="88" t="s">
        <v>1288</v>
      </c>
      <c r="E700" s="89">
        <v>6114.2049999999999</v>
      </c>
      <c r="F700" s="89">
        <v>3057.1025</v>
      </c>
      <c r="G700" s="60">
        <v>3057.1025</v>
      </c>
      <c r="H700" s="141">
        <v>0.5</v>
      </c>
      <c r="I700" s="86" t="s">
        <v>15</v>
      </c>
      <c r="J700" s="86" t="s">
        <v>640</v>
      </c>
      <c r="K700" s="137">
        <v>46178</v>
      </c>
      <c r="L700" s="137">
        <v>46234</v>
      </c>
      <c r="M700" s="68" t="s">
        <v>736</v>
      </c>
    </row>
    <row r="701" spans="1:13">
      <c r="A701" s="87">
        <v>13644</v>
      </c>
      <c r="B701" s="88">
        <v>13839</v>
      </c>
      <c r="C701" s="87">
        <v>7798051308390</v>
      </c>
      <c r="D701" s="88" t="s">
        <v>1289</v>
      </c>
      <c r="E701" s="89">
        <v>6947.9610000000002</v>
      </c>
      <c r="F701" s="89">
        <v>3473.9805000000001</v>
      </c>
      <c r="G701" s="60">
        <v>3473.9805000000001</v>
      </c>
      <c r="H701" s="141">
        <v>0.5</v>
      </c>
      <c r="I701" s="86" t="s">
        <v>15</v>
      </c>
      <c r="J701" s="86" t="s">
        <v>640</v>
      </c>
      <c r="K701" s="137">
        <v>46178</v>
      </c>
      <c r="L701" s="137">
        <v>46234</v>
      </c>
      <c r="M701" s="68" t="s">
        <v>736</v>
      </c>
    </row>
    <row r="702" spans="1:13">
      <c r="A702" s="87">
        <v>12022</v>
      </c>
      <c r="B702" s="88">
        <v>11560</v>
      </c>
      <c r="C702" s="87">
        <v>7798051300325</v>
      </c>
      <c r="D702" s="88" t="s">
        <v>1290</v>
      </c>
      <c r="E702" s="89">
        <v>6114.2049999999999</v>
      </c>
      <c r="F702" s="89">
        <v>3057.1025</v>
      </c>
      <c r="G702" s="60">
        <v>3057.1025</v>
      </c>
      <c r="H702" s="141">
        <v>0.5</v>
      </c>
      <c r="I702" s="86" t="s">
        <v>15</v>
      </c>
      <c r="J702" s="86" t="s">
        <v>640</v>
      </c>
      <c r="K702" s="137">
        <v>46178</v>
      </c>
      <c r="L702" s="137">
        <v>46234</v>
      </c>
      <c r="M702" s="68" t="s">
        <v>736</v>
      </c>
    </row>
    <row r="703" spans="1:13">
      <c r="A703" s="87">
        <v>663540</v>
      </c>
      <c r="B703" s="88">
        <v>74727</v>
      </c>
      <c r="C703" s="87">
        <v>7790240098976</v>
      </c>
      <c r="D703" s="88" t="s">
        <v>859</v>
      </c>
      <c r="E703" s="89">
        <v>6120.1509999999998</v>
      </c>
      <c r="F703" s="89">
        <v>5508.1359000000002</v>
      </c>
      <c r="G703" s="60">
        <v>612.01509999999962</v>
      </c>
      <c r="H703" s="91">
        <v>0.1</v>
      </c>
      <c r="I703" s="86" t="s">
        <v>18</v>
      </c>
      <c r="J703" s="86" t="s">
        <v>23</v>
      </c>
      <c r="K703" s="137">
        <v>46178</v>
      </c>
      <c r="L703" s="137">
        <v>46234</v>
      </c>
      <c r="M703" s="68" t="s">
        <v>736</v>
      </c>
    </row>
    <row r="704" spans="1:13">
      <c r="A704" s="87">
        <v>663541</v>
      </c>
      <c r="B704" s="88">
        <v>74726</v>
      </c>
      <c r="C704" s="87">
        <v>7790240098969</v>
      </c>
      <c r="D704" s="88" t="s">
        <v>860</v>
      </c>
      <c r="E704" s="89">
        <v>6120.1509999999998</v>
      </c>
      <c r="F704" s="89">
        <v>5508.1359000000002</v>
      </c>
      <c r="G704" s="60">
        <v>612.01509999999962</v>
      </c>
      <c r="H704" s="91">
        <v>0.1</v>
      </c>
      <c r="I704" s="86" t="s">
        <v>18</v>
      </c>
      <c r="J704" s="86" t="s">
        <v>23</v>
      </c>
      <c r="K704" s="137">
        <v>46178</v>
      </c>
      <c r="L704" s="137">
        <v>46234</v>
      </c>
      <c r="M704" s="68" t="s">
        <v>736</v>
      </c>
    </row>
    <row r="705" spans="1:13">
      <c r="A705" s="87">
        <v>4329</v>
      </c>
      <c r="B705" s="88">
        <v>1045</v>
      </c>
      <c r="C705" s="87">
        <v>7790415129979</v>
      </c>
      <c r="D705" s="88" t="s">
        <v>1135</v>
      </c>
      <c r="E705" s="89">
        <v>33300</v>
      </c>
      <c r="F705" s="89">
        <v>26640</v>
      </c>
      <c r="G705" s="60">
        <v>6660</v>
      </c>
      <c r="H705" s="91">
        <v>0.2</v>
      </c>
      <c r="I705" s="86" t="s">
        <v>18</v>
      </c>
      <c r="J705" s="86" t="s">
        <v>75</v>
      </c>
      <c r="K705" s="137">
        <v>46178</v>
      </c>
      <c r="L705" s="137">
        <v>46234</v>
      </c>
      <c r="M705" s="68" t="s">
        <v>736</v>
      </c>
    </row>
    <row r="706" spans="1:13">
      <c r="A706" s="87">
        <v>4312</v>
      </c>
      <c r="B706" s="88">
        <v>1030</v>
      </c>
      <c r="C706" s="87">
        <v>7790415129894</v>
      </c>
      <c r="D706" s="88" t="s">
        <v>1136</v>
      </c>
      <c r="E706" s="89">
        <v>33300</v>
      </c>
      <c r="F706" s="89">
        <v>26640</v>
      </c>
      <c r="G706" s="60">
        <v>6660</v>
      </c>
      <c r="H706" s="91">
        <v>0.2</v>
      </c>
      <c r="I706" s="86" t="s">
        <v>18</v>
      </c>
      <c r="J706" s="86" t="s">
        <v>75</v>
      </c>
      <c r="K706" s="137">
        <v>46178</v>
      </c>
      <c r="L706" s="137">
        <v>46234</v>
      </c>
      <c r="M706" s="68" t="s">
        <v>736</v>
      </c>
    </row>
    <row r="707" spans="1:13">
      <c r="A707" s="87">
        <v>660096</v>
      </c>
      <c r="B707" s="88">
        <v>0</v>
      </c>
      <c r="C707" s="87">
        <v>7798126083696</v>
      </c>
      <c r="D707" s="88" t="s">
        <v>861</v>
      </c>
      <c r="E707" s="89">
        <v>9555.6219999999994</v>
      </c>
      <c r="F707" s="89">
        <v>8600.0597999999991</v>
      </c>
      <c r="G707" s="60">
        <v>955.5622000000003</v>
      </c>
      <c r="H707" s="91">
        <v>0.1</v>
      </c>
      <c r="I707" s="86" t="s">
        <v>18</v>
      </c>
      <c r="J707" s="86" t="s">
        <v>23</v>
      </c>
      <c r="K707" s="137">
        <v>46178</v>
      </c>
      <c r="L707" s="137">
        <v>46234</v>
      </c>
      <c r="M707" s="68" t="s">
        <v>736</v>
      </c>
    </row>
    <row r="708" spans="1:13">
      <c r="A708" s="87">
        <v>660095</v>
      </c>
      <c r="B708" s="88">
        <v>0</v>
      </c>
      <c r="C708" s="87">
        <v>7798126080534</v>
      </c>
      <c r="D708" s="88" t="s">
        <v>862</v>
      </c>
      <c r="E708" s="89">
        <v>10510.6</v>
      </c>
      <c r="F708" s="89">
        <v>9459.5400000000009</v>
      </c>
      <c r="G708" s="60">
        <v>1051.0599999999995</v>
      </c>
      <c r="H708" s="91">
        <v>0.1</v>
      </c>
      <c r="I708" s="86" t="s">
        <v>18</v>
      </c>
      <c r="J708" s="86" t="s">
        <v>23</v>
      </c>
      <c r="K708" s="137">
        <v>46178</v>
      </c>
      <c r="L708" s="137">
        <v>46234</v>
      </c>
      <c r="M708" s="68" t="s">
        <v>736</v>
      </c>
    </row>
    <row r="709" spans="1:13">
      <c r="A709" s="87">
        <v>660094</v>
      </c>
      <c r="B709" s="88">
        <v>114</v>
      </c>
      <c r="C709" s="87">
        <v>7798126080954</v>
      </c>
      <c r="D709" s="88" t="s">
        <v>863</v>
      </c>
      <c r="E709" s="89">
        <v>12230.96</v>
      </c>
      <c r="F709" s="89">
        <v>11007.864</v>
      </c>
      <c r="G709" s="60">
        <v>1223.0959999999995</v>
      </c>
      <c r="H709" s="91">
        <v>0.1</v>
      </c>
      <c r="I709" s="86" t="s">
        <v>18</v>
      </c>
      <c r="J709" s="86" t="s">
        <v>23</v>
      </c>
      <c r="K709" s="137">
        <v>46178</v>
      </c>
      <c r="L709" s="137">
        <v>46234</v>
      </c>
      <c r="M709" s="68" t="s">
        <v>736</v>
      </c>
    </row>
    <row r="710" spans="1:13">
      <c r="A710" s="87">
        <v>666679</v>
      </c>
      <c r="B710" s="88">
        <v>2889</v>
      </c>
      <c r="C710" s="87">
        <v>7798385680025</v>
      </c>
      <c r="D710" s="88" t="s">
        <v>864</v>
      </c>
      <c r="E710" s="89">
        <v>10718.4</v>
      </c>
      <c r="F710" s="89">
        <v>9646.56</v>
      </c>
      <c r="G710" s="60">
        <v>1071.8400000000001</v>
      </c>
      <c r="H710" s="91">
        <v>0.1</v>
      </c>
      <c r="I710" s="86" t="s">
        <v>18</v>
      </c>
      <c r="J710" s="86" t="s">
        <v>23</v>
      </c>
      <c r="K710" s="137">
        <v>46178</v>
      </c>
      <c r="L710" s="137">
        <v>46234</v>
      </c>
      <c r="M710" s="68" t="s">
        <v>736</v>
      </c>
    </row>
    <row r="711" spans="1:13">
      <c r="A711" s="87">
        <v>666590</v>
      </c>
      <c r="B711" s="88">
        <v>2888</v>
      </c>
      <c r="C711" s="87">
        <v>7798385680018</v>
      </c>
      <c r="D711" s="88" t="s">
        <v>865</v>
      </c>
      <c r="E711" s="89">
        <v>10718.4</v>
      </c>
      <c r="F711" s="89">
        <v>9646.56</v>
      </c>
      <c r="G711" s="60">
        <v>1071.8400000000001</v>
      </c>
      <c r="H711" s="91">
        <v>0.1</v>
      </c>
      <c r="I711" s="86" t="s">
        <v>18</v>
      </c>
      <c r="J711" s="86" t="s">
        <v>23</v>
      </c>
      <c r="K711" s="137">
        <v>46178</v>
      </c>
      <c r="L711" s="137">
        <v>46234</v>
      </c>
      <c r="M711" s="68" t="s">
        <v>736</v>
      </c>
    </row>
    <row r="712" spans="1:13">
      <c r="A712" s="87">
        <v>665437</v>
      </c>
      <c r="B712" s="88">
        <v>2115</v>
      </c>
      <c r="C712" s="87">
        <v>7798123971552</v>
      </c>
      <c r="D712" s="88" t="s">
        <v>1137</v>
      </c>
      <c r="E712" s="89">
        <v>4922.107</v>
      </c>
      <c r="F712" s="89">
        <v>3937.6856000000002</v>
      </c>
      <c r="G712" s="60">
        <v>984.42139999999972</v>
      </c>
      <c r="H712" s="91">
        <v>0.2</v>
      </c>
      <c r="I712" s="86" t="s">
        <v>18</v>
      </c>
      <c r="J712" s="86" t="s">
        <v>75</v>
      </c>
      <c r="K712" s="137">
        <v>46178</v>
      </c>
      <c r="L712" s="137">
        <v>46234</v>
      </c>
      <c r="M712" s="68" t="s">
        <v>736</v>
      </c>
    </row>
    <row r="713" spans="1:13">
      <c r="A713" s="87">
        <v>665439</v>
      </c>
      <c r="B713" s="88">
        <v>1323</v>
      </c>
      <c r="C713" s="87">
        <v>7798123971323</v>
      </c>
      <c r="D713" s="88" t="s">
        <v>1138</v>
      </c>
      <c r="E713" s="89">
        <v>4922.107</v>
      </c>
      <c r="F713" s="89">
        <v>3937.6856000000002</v>
      </c>
      <c r="G713" s="60">
        <v>984.42139999999972</v>
      </c>
      <c r="H713" s="91">
        <v>0.2</v>
      </c>
      <c r="I713" s="86" t="s">
        <v>18</v>
      </c>
      <c r="J713" s="86" t="s">
        <v>75</v>
      </c>
      <c r="K713" s="137">
        <v>46178</v>
      </c>
      <c r="L713" s="137">
        <v>46234</v>
      </c>
      <c r="M713" s="68" t="s">
        <v>736</v>
      </c>
    </row>
    <row r="714" spans="1:13">
      <c r="A714" s="87">
        <v>660392</v>
      </c>
      <c r="B714" s="88">
        <v>0</v>
      </c>
      <c r="C714" s="87">
        <v>7794450005441</v>
      </c>
      <c r="D714" s="88" t="s">
        <v>866</v>
      </c>
      <c r="E714" s="89">
        <v>15514.14</v>
      </c>
      <c r="F714" s="89">
        <v>13962.726000000001</v>
      </c>
      <c r="G714" s="60">
        <v>1551.4139999999989</v>
      </c>
      <c r="H714" s="91">
        <v>0.1</v>
      </c>
      <c r="I714" s="86" t="s">
        <v>18</v>
      </c>
      <c r="J714" s="86" t="s">
        <v>23</v>
      </c>
      <c r="K714" s="137">
        <v>46178</v>
      </c>
      <c r="L714" s="137">
        <v>46234</v>
      </c>
      <c r="M714" s="68" t="s">
        <v>736</v>
      </c>
    </row>
    <row r="715" spans="1:13">
      <c r="A715" s="87">
        <v>660167</v>
      </c>
      <c r="B715" s="88">
        <v>111</v>
      </c>
      <c r="C715" s="87">
        <v>7798123970111</v>
      </c>
      <c r="D715" s="88" t="s">
        <v>1139</v>
      </c>
      <c r="E715" s="89">
        <v>7140.2340000000004</v>
      </c>
      <c r="F715" s="89">
        <v>5712.1872000000003</v>
      </c>
      <c r="G715" s="60">
        <v>1428.0468000000001</v>
      </c>
      <c r="H715" s="91">
        <v>0.2</v>
      </c>
      <c r="I715" s="86" t="s">
        <v>18</v>
      </c>
      <c r="J715" s="86" t="s">
        <v>75</v>
      </c>
      <c r="K715" s="137">
        <v>46178</v>
      </c>
      <c r="L715" s="137">
        <v>46234</v>
      </c>
      <c r="M715" s="68" t="s">
        <v>736</v>
      </c>
    </row>
    <row r="716" spans="1:13">
      <c r="A716" s="87">
        <v>660173</v>
      </c>
      <c r="B716" s="88">
        <v>388</v>
      </c>
      <c r="C716" s="87">
        <v>7798123970388</v>
      </c>
      <c r="D716" s="88" t="s">
        <v>1140</v>
      </c>
      <c r="E716" s="89">
        <v>11234.98</v>
      </c>
      <c r="F716" s="89">
        <v>8987.9840000000004</v>
      </c>
      <c r="G716" s="60">
        <v>2246.9959999999992</v>
      </c>
      <c r="H716" s="91">
        <v>0.2</v>
      </c>
      <c r="I716" s="86" t="s">
        <v>18</v>
      </c>
      <c r="J716" s="86" t="s">
        <v>75</v>
      </c>
      <c r="K716" s="137">
        <v>46178</v>
      </c>
      <c r="L716" s="137">
        <v>46234</v>
      </c>
      <c r="M716" s="68" t="s">
        <v>736</v>
      </c>
    </row>
    <row r="717" spans="1:13">
      <c r="A717" s="87">
        <v>660171</v>
      </c>
      <c r="B717" s="88">
        <v>7068</v>
      </c>
      <c r="C717" s="87">
        <v>7798123970685</v>
      </c>
      <c r="D717" s="88" t="s">
        <v>1141</v>
      </c>
      <c r="E717" s="89">
        <v>12134.24</v>
      </c>
      <c r="F717" s="89">
        <v>9707.3919999999998</v>
      </c>
      <c r="G717" s="60">
        <v>2426.848</v>
      </c>
      <c r="H717" s="91">
        <v>0.2</v>
      </c>
      <c r="I717" s="86" t="s">
        <v>18</v>
      </c>
      <c r="J717" s="86" t="s">
        <v>75</v>
      </c>
      <c r="K717" s="137">
        <v>46178</v>
      </c>
      <c r="L717" s="137">
        <v>46234</v>
      </c>
      <c r="M717" s="68" t="s">
        <v>736</v>
      </c>
    </row>
    <row r="718" spans="1:13">
      <c r="A718" s="87">
        <v>660176</v>
      </c>
      <c r="B718" s="88">
        <v>1453</v>
      </c>
      <c r="C718" s="87">
        <v>7798123971453</v>
      </c>
      <c r="D718" s="88" t="s">
        <v>1142</v>
      </c>
      <c r="E718" s="89">
        <v>21945.03</v>
      </c>
      <c r="F718" s="89">
        <v>17556.024000000001</v>
      </c>
      <c r="G718" s="60">
        <v>4389.0059999999976</v>
      </c>
      <c r="H718" s="91">
        <v>0.2</v>
      </c>
      <c r="I718" s="86" t="s">
        <v>18</v>
      </c>
      <c r="J718" s="86" t="s">
        <v>75</v>
      </c>
      <c r="K718" s="137">
        <v>46178</v>
      </c>
      <c r="L718" s="137">
        <v>46234</v>
      </c>
      <c r="M718" s="68" t="s">
        <v>736</v>
      </c>
    </row>
    <row r="719" spans="1:13">
      <c r="A719" s="87">
        <v>660172</v>
      </c>
      <c r="B719" s="88">
        <v>296</v>
      </c>
      <c r="C719" s="87">
        <v>7798123970296</v>
      </c>
      <c r="D719" s="88" t="s">
        <v>1143</v>
      </c>
      <c r="E719" s="89">
        <v>11234.98</v>
      </c>
      <c r="F719" s="89">
        <v>8987.9840000000004</v>
      </c>
      <c r="G719" s="60">
        <v>2246.9959999999992</v>
      </c>
      <c r="H719" s="91">
        <v>0.2</v>
      </c>
      <c r="I719" s="86" t="s">
        <v>18</v>
      </c>
      <c r="J719" s="86" t="s">
        <v>75</v>
      </c>
      <c r="K719" s="137">
        <v>46178</v>
      </c>
      <c r="L719" s="137">
        <v>46234</v>
      </c>
      <c r="M719" s="68" t="s">
        <v>736</v>
      </c>
    </row>
    <row r="720" spans="1:13">
      <c r="A720" s="87">
        <v>660174</v>
      </c>
      <c r="B720" s="88">
        <v>432</v>
      </c>
      <c r="C720" s="87">
        <v>7798123970432</v>
      </c>
      <c r="D720" s="88" t="s">
        <v>1144</v>
      </c>
      <c r="E720" s="89">
        <v>11234.98</v>
      </c>
      <c r="F720" s="89">
        <v>8987.9840000000004</v>
      </c>
      <c r="G720" s="60">
        <v>2246.9959999999992</v>
      </c>
      <c r="H720" s="91">
        <v>0.2</v>
      </c>
      <c r="I720" s="86" t="s">
        <v>18</v>
      </c>
      <c r="J720" s="86" t="s">
        <v>75</v>
      </c>
      <c r="K720" s="137">
        <v>46178</v>
      </c>
      <c r="L720" s="137">
        <v>46234</v>
      </c>
      <c r="M720" s="68" t="s">
        <v>736</v>
      </c>
    </row>
    <row r="721" spans="1:13">
      <c r="A721" s="87">
        <v>665508</v>
      </c>
      <c r="B721" s="88">
        <v>0</v>
      </c>
      <c r="C721" s="87">
        <v>7798141180349</v>
      </c>
      <c r="D721" s="88" t="s">
        <v>867</v>
      </c>
      <c r="E721" s="89">
        <v>12526.66</v>
      </c>
      <c r="F721" s="89">
        <v>11273.994000000001</v>
      </c>
      <c r="G721" s="60">
        <v>1252.6659999999993</v>
      </c>
      <c r="H721" s="91">
        <v>0.1</v>
      </c>
      <c r="I721" s="86" t="s">
        <v>18</v>
      </c>
      <c r="J721" s="86" t="s">
        <v>23</v>
      </c>
      <c r="K721" s="137">
        <v>46178</v>
      </c>
      <c r="L721" s="137">
        <v>46234</v>
      </c>
      <c r="M721" s="68" t="s">
        <v>736</v>
      </c>
    </row>
    <row r="722" spans="1:13">
      <c r="A722" s="87">
        <v>660852</v>
      </c>
      <c r="B722" s="88">
        <v>78086</v>
      </c>
      <c r="C722" s="87">
        <v>7790314073335</v>
      </c>
      <c r="D722" s="88" t="s">
        <v>1291</v>
      </c>
      <c r="E722" s="89">
        <v>3075.7289999999998</v>
      </c>
      <c r="F722" s="89">
        <v>1537.8644999999999</v>
      </c>
      <c r="G722" s="60">
        <v>1537.8644999999999</v>
      </c>
      <c r="H722" s="141">
        <v>0.5</v>
      </c>
      <c r="I722" s="86" t="s">
        <v>15</v>
      </c>
      <c r="J722" s="86" t="s">
        <v>640</v>
      </c>
      <c r="K722" s="137">
        <v>46178</v>
      </c>
      <c r="L722" s="137">
        <v>46234</v>
      </c>
      <c r="M722" s="68" t="s">
        <v>736</v>
      </c>
    </row>
    <row r="723" spans="1:13">
      <c r="A723" s="87">
        <v>660850</v>
      </c>
      <c r="B723" s="88">
        <v>78091</v>
      </c>
      <c r="C723" s="87">
        <v>7790314073328</v>
      </c>
      <c r="D723" s="88" t="s">
        <v>1292</v>
      </c>
      <c r="E723" s="89">
        <v>3075.7289999999998</v>
      </c>
      <c r="F723" s="89">
        <v>1537.8644999999999</v>
      </c>
      <c r="G723" s="60">
        <v>1537.8644999999999</v>
      </c>
      <c r="H723" s="141">
        <v>0.5</v>
      </c>
      <c r="I723" s="86" t="s">
        <v>15</v>
      </c>
      <c r="J723" s="86" t="s">
        <v>640</v>
      </c>
      <c r="K723" s="137">
        <v>46178</v>
      </c>
      <c r="L723" s="137">
        <v>46234</v>
      </c>
      <c r="M723" s="68" t="s">
        <v>736</v>
      </c>
    </row>
    <row r="724" spans="1:13">
      <c r="A724" s="87">
        <v>660851</v>
      </c>
      <c r="B724" s="88">
        <v>78105</v>
      </c>
      <c r="C724" s="87">
        <v>7790314073359</v>
      </c>
      <c r="D724" s="88" t="s">
        <v>1293</v>
      </c>
      <c r="E724" s="89">
        <v>3075.7289999999998</v>
      </c>
      <c r="F724" s="89">
        <v>1537.8644999999999</v>
      </c>
      <c r="G724" s="60">
        <v>1537.8644999999999</v>
      </c>
      <c r="H724" s="141">
        <v>0.5</v>
      </c>
      <c r="I724" s="86" t="s">
        <v>15</v>
      </c>
      <c r="J724" s="86" t="s">
        <v>640</v>
      </c>
      <c r="K724" s="137">
        <v>46178</v>
      </c>
      <c r="L724" s="137">
        <v>46234</v>
      </c>
      <c r="M724" s="68" t="s">
        <v>736</v>
      </c>
    </row>
    <row r="725" spans="1:13">
      <c r="A725" s="87">
        <v>8050</v>
      </c>
      <c r="B725" s="88" t="s">
        <v>868</v>
      </c>
      <c r="C725" s="87">
        <v>7798159944322</v>
      </c>
      <c r="D725" s="88" t="s">
        <v>869</v>
      </c>
      <c r="E725" s="89">
        <v>10050</v>
      </c>
      <c r="F725" s="89">
        <v>9045</v>
      </c>
      <c r="G725" s="60">
        <v>1005</v>
      </c>
      <c r="H725" s="91">
        <v>0.1</v>
      </c>
      <c r="I725" s="86" t="s">
        <v>18</v>
      </c>
      <c r="J725" s="86" t="s">
        <v>23</v>
      </c>
      <c r="K725" s="137">
        <v>46178</v>
      </c>
      <c r="L725" s="137">
        <v>46234</v>
      </c>
      <c r="M725" s="68" t="s">
        <v>736</v>
      </c>
    </row>
    <row r="726" spans="1:13">
      <c r="A726" s="87">
        <v>666474</v>
      </c>
      <c r="B726" s="88">
        <v>100199407</v>
      </c>
      <c r="C726" s="87">
        <v>7791728249149</v>
      </c>
      <c r="D726" s="88" t="s">
        <v>870</v>
      </c>
      <c r="E726" s="89">
        <v>32400</v>
      </c>
      <c r="F726" s="89">
        <v>29160</v>
      </c>
      <c r="G726" s="60">
        <v>3240</v>
      </c>
      <c r="H726" s="91">
        <v>0.1</v>
      </c>
      <c r="I726" s="86" t="s">
        <v>18</v>
      </c>
      <c r="J726" s="86" t="s">
        <v>23</v>
      </c>
      <c r="K726" s="137">
        <v>46178</v>
      </c>
      <c r="L726" s="137">
        <v>46234</v>
      </c>
      <c r="M726" s="68" t="s">
        <v>736</v>
      </c>
    </row>
    <row r="727" spans="1:13">
      <c r="A727" s="87">
        <v>666477</v>
      </c>
      <c r="B727" s="88">
        <v>100199403</v>
      </c>
      <c r="C727" s="87">
        <v>7791728249101</v>
      </c>
      <c r="D727" s="88" t="s">
        <v>871</v>
      </c>
      <c r="E727" s="89">
        <v>32400</v>
      </c>
      <c r="F727" s="89">
        <v>29160</v>
      </c>
      <c r="G727" s="60">
        <v>3240</v>
      </c>
      <c r="H727" s="91">
        <v>0.1</v>
      </c>
      <c r="I727" s="86" t="s">
        <v>18</v>
      </c>
      <c r="J727" s="86" t="s">
        <v>23</v>
      </c>
      <c r="K727" s="137">
        <v>46178</v>
      </c>
      <c r="L727" s="137">
        <v>46234</v>
      </c>
      <c r="M727" s="68" t="s">
        <v>736</v>
      </c>
    </row>
    <row r="728" spans="1:13">
      <c r="A728" s="87">
        <v>666476</v>
      </c>
      <c r="B728" s="88">
        <v>100194888</v>
      </c>
      <c r="C728" s="87">
        <v>7791728248067</v>
      </c>
      <c r="D728" s="88" t="s">
        <v>872</v>
      </c>
      <c r="E728" s="89">
        <v>32400</v>
      </c>
      <c r="F728" s="89">
        <v>29160</v>
      </c>
      <c r="G728" s="60">
        <v>3240</v>
      </c>
      <c r="H728" s="91">
        <v>0.1</v>
      </c>
      <c r="I728" s="86" t="s">
        <v>18</v>
      </c>
      <c r="J728" s="86" t="s">
        <v>23</v>
      </c>
      <c r="K728" s="137">
        <v>46178</v>
      </c>
      <c r="L728" s="137">
        <v>46234</v>
      </c>
      <c r="M728" s="68" t="s">
        <v>736</v>
      </c>
    </row>
    <row r="729" spans="1:13">
      <c r="A729" s="87">
        <v>666475</v>
      </c>
      <c r="B729" s="88">
        <v>100195305</v>
      </c>
      <c r="C729" s="87">
        <v>7791728248128</v>
      </c>
      <c r="D729" s="88" t="s">
        <v>873</v>
      </c>
      <c r="E729" s="89">
        <v>32400</v>
      </c>
      <c r="F729" s="89">
        <v>29160</v>
      </c>
      <c r="G729" s="60">
        <v>3240</v>
      </c>
      <c r="H729" s="91">
        <v>0.1</v>
      </c>
      <c r="I729" s="86" t="s">
        <v>18</v>
      </c>
      <c r="J729" s="86" t="s">
        <v>23</v>
      </c>
      <c r="K729" s="137">
        <v>46178</v>
      </c>
      <c r="L729" s="137">
        <v>46234</v>
      </c>
      <c r="M729" s="68" t="s">
        <v>736</v>
      </c>
    </row>
    <row r="730" spans="1:13">
      <c r="A730" s="87">
        <v>9807</v>
      </c>
      <c r="B730" s="88" t="s">
        <v>1145</v>
      </c>
      <c r="C730" s="87">
        <v>7798074866259</v>
      </c>
      <c r="D730" s="88" t="s">
        <v>1146</v>
      </c>
      <c r="E730" s="89">
        <v>5028.6080000000002</v>
      </c>
      <c r="F730" s="89">
        <v>4022.8864000000003</v>
      </c>
      <c r="G730" s="60">
        <v>1005.7215999999999</v>
      </c>
      <c r="H730" s="91">
        <v>0.2</v>
      </c>
      <c r="I730" s="86" t="s">
        <v>18</v>
      </c>
      <c r="J730" s="86" t="s">
        <v>75</v>
      </c>
      <c r="K730" s="137">
        <v>46178</v>
      </c>
      <c r="L730" s="137">
        <v>46234</v>
      </c>
      <c r="M730" s="68" t="s">
        <v>736</v>
      </c>
    </row>
    <row r="731" spans="1:13">
      <c r="A731" s="87">
        <v>102348</v>
      </c>
      <c r="B731" s="88" t="s">
        <v>1147</v>
      </c>
      <c r="C731" s="87">
        <v>7798074860646</v>
      </c>
      <c r="D731" s="88" t="s">
        <v>1148</v>
      </c>
      <c r="E731" s="89">
        <v>5028.6080000000002</v>
      </c>
      <c r="F731" s="89">
        <v>4022.8864000000003</v>
      </c>
      <c r="G731" s="60">
        <v>1005.7215999999999</v>
      </c>
      <c r="H731" s="91">
        <v>0.2</v>
      </c>
      <c r="I731" s="86" t="s">
        <v>18</v>
      </c>
      <c r="J731" s="86" t="s">
        <v>75</v>
      </c>
      <c r="K731" s="137">
        <v>46178</v>
      </c>
      <c r="L731" s="137">
        <v>46234</v>
      </c>
      <c r="M731" s="68" t="s">
        <v>736</v>
      </c>
    </row>
    <row r="732" spans="1:13">
      <c r="A732" s="87">
        <v>661213</v>
      </c>
      <c r="B732" s="88" t="s">
        <v>1149</v>
      </c>
      <c r="C732" s="87">
        <v>7798074864019</v>
      </c>
      <c r="D732" s="88" t="s">
        <v>1150</v>
      </c>
      <c r="E732" s="89">
        <v>10057.200000000001</v>
      </c>
      <c r="F732" s="89">
        <v>8045.7600000000011</v>
      </c>
      <c r="G732" s="60">
        <v>2011.4399999999996</v>
      </c>
      <c r="H732" s="91">
        <v>0.2</v>
      </c>
      <c r="I732" s="86" t="s">
        <v>18</v>
      </c>
      <c r="J732" s="86" t="s">
        <v>75</v>
      </c>
      <c r="K732" s="137">
        <v>46178</v>
      </c>
      <c r="L732" s="137">
        <v>46234</v>
      </c>
      <c r="M732" s="68" t="s">
        <v>736</v>
      </c>
    </row>
    <row r="733" spans="1:13">
      <c r="A733" s="87">
        <v>7977</v>
      </c>
      <c r="B733" s="88" t="s">
        <v>1151</v>
      </c>
      <c r="C733" s="87">
        <v>7798074866273</v>
      </c>
      <c r="D733" s="88" t="s">
        <v>1152</v>
      </c>
      <c r="E733" s="89">
        <v>5028.6080000000002</v>
      </c>
      <c r="F733" s="89">
        <v>4022.8864000000003</v>
      </c>
      <c r="G733" s="60">
        <v>1005.7215999999999</v>
      </c>
      <c r="H733" s="91">
        <v>0.2</v>
      </c>
      <c r="I733" s="86" t="s">
        <v>18</v>
      </c>
      <c r="J733" s="86" t="s">
        <v>75</v>
      </c>
      <c r="K733" s="137">
        <v>46178</v>
      </c>
      <c r="L733" s="137">
        <v>46234</v>
      </c>
      <c r="M733" s="68" t="s">
        <v>736</v>
      </c>
    </row>
    <row r="734" spans="1:13">
      <c r="A734" s="87">
        <v>9808</v>
      </c>
      <c r="B734" s="88" t="s">
        <v>1153</v>
      </c>
      <c r="C734" s="87">
        <v>7798074866266</v>
      </c>
      <c r="D734" s="88" t="s">
        <v>1154</v>
      </c>
      <c r="E734" s="89">
        <v>5028.6080000000002</v>
      </c>
      <c r="F734" s="89">
        <v>4022.8864000000003</v>
      </c>
      <c r="G734" s="60">
        <v>1005.7215999999999</v>
      </c>
      <c r="H734" s="91">
        <v>0.2</v>
      </c>
      <c r="I734" s="86" t="s">
        <v>18</v>
      </c>
      <c r="J734" s="86" t="s">
        <v>75</v>
      </c>
      <c r="K734" s="137">
        <v>46178</v>
      </c>
      <c r="L734" s="137">
        <v>46234</v>
      </c>
      <c r="M734" s="68" t="s">
        <v>736</v>
      </c>
    </row>
    <row r="735" spans="1:13">
      <c r="A735" s="87">
        <v>663256</v>
      </c>
      <c r="B735" s="88">
        <v>0</v>
      </c>
      <c r="C735" s="87">
        <v>7798153600194</v>
      </c>
      <c r="D735" s="88" t="s">
        <v>1155</v>
      </c>
      <c r="E735" s="89">
        <v>5340.741</v>
      </c>
      <c r="F735" s="89">
        <v>4272.5928000000004</v>
      </c>
      <c r="G735" s="60">
        <v>1068.1481999999996</v>
      </c>
      <c r="H735" s="91">
        <v>0.2</v>
      </c>
      <c r="I735" s="86" t="s">
        <v>18</v>
      </c>
      <c r="J735" s="86" t="s">
        <v>75</v>
      </c>
      <c r="K735" s="137">
        <v>46178</v>
      </c>
      <c r="L735" s="137">
        <v>46234</v>
      </c>
      <c r="M735" s="68" t="s">
        <v>736</v>
      </c>
    </row>
    <row r="736" spans="1:13">
      <c r="A736" s="87">
        <v>662517</v>
      </c>
      <c r="B736" s="88" t="s">
        <v>1156</v>
      </c>
      <c r="C736" s="87">
        <v>7798287070047</v>
      </c>
      <c r="D736" s="88" t="s">
        <v>1157</v>
      </c>
      <c r="E736" s="89">
        <v>11314.35</v>
      </c>
      <c r="F736" s="89">
        <v>9051.4800000000014</v>
      </c>
      <c r="G736" s="60">
        <v>2262.869999999999</v>
      </c>
      <c r="H736" s="91">
        <v>0.2</v>
      </c>
      <c r="I736" s="86" t="s">
        <v>18</v>
      </c>
      <c r="J736" s="86" t="s">
        <v>75</v>
      </c>
      <c r="K736" s="137">
        <v>46178</v>
      </c>
      <c r="L736" s="137">
        <v>46234</v>
      </c>
      <c r="M736" s="68" t="s">
        <v>736</v>
      </c>
    </row>
    <row r="737" spans="1:13">
      <c r="A737" s="87">
        <v>662518</v>
      </c>
      <c r="B737" s="88" t="s">
        <v>1158</v>
      </c>
      <c r="C737" s="87">
        <v>7798287070016</v>
      </c>
      <c r="D737" s="88" t="s">
        <v>1159</v>
      </c>
      <c r="E737" s="89">
        <v>11314.35</v>
      </c>
      <c r="F737" s="89">
        <v>9051.4800000000014</v>
      </c>
      <c r="G737" s="60">
        <v>2262.869999999999</v>
      </c>
      <c r="H737" s="91">
        <v>0.2</v>
      </c>
      <c r="I737" s="86" t="s">
        <v>18</v>
      </c>
      <c r="J737" s="86" t="s">
        <v>75</v>
      </c>
      <c r="K737" s="137">
        <v>46178</v>
      </c>
      <c r="L737" s="137">
        <v>46234</v>
      </c>
      <c r="M737" s="68" t="s">
        <v>736</v>
      </c>
    </row>
    <row r="738" spans="1:13">
      <c r="A738" s="87">
        <v>659933</v>
      </c>
      <c r="B738" s="88" t="s">
        <v>1160</v>
      </c>
      <c r="C738" s="87">
        <v>7798108833073</v>
      </c>
      <c r="D738" s="88" t="s">
        <v>1161</v>
      </c>
      <c r="E738" s="89">
        <v>10279.049999999999</v>
      </c>
      <c r="F738" s="89">
        <v>8223.24</v>
      </c>
      <c r="G738" s="60">
        <v>2055.8099999999995</v>
      </c>
      <c r="H738" s="91">
        <v>0.2</v>
      </c>
      <c r="I738" s="86" t="s">
        <v>18</v>
      </c>
      <c r="J738" s="86" t="s">
        <v>75</v>
      </c>
      <c r="K738" s="137">
        <v>46178</v>
      </c>
      <c r="L738" s="137">
        <v>46234</v>
      </c>
      <c r="M738" s="68" t="s">
        <v>736</v>
      </c>
    </row>
    <row r="739" spans="1:13">
      <c r="A739" s="87">
        <v>659934</v>
      </c>
      <c r="B739" s="88" t="s">
        <v>1162</v>
      </c>
      <c r="C739" s="87">
        <v>7798108833097</v>
      </c>
      <c r="D739" s="88" t="s">
        <v>1163</v>
      </c>
      <c r="E739" s="89">
        <v>10279.049999999999</v>
      </c>
      <c r="F739" s="89">
        <v>8223.24</v>
      </c>
      <c r="G739" s="60">
        <v>2055.8099999999995</v>
      </c>
      <c r="H739" s="91">
        <v>0.2</v>
      </c>
      <c r="I739" s="86" t="s">
        <v>18</v>
      </c>
      <c r="J739" s="86" t="s">
        <v>75</v>
      </c>
      <c r="K739" s="137">
        <v>46178</v>
      </c>
      <c r="L739" s="137">
        <v>46234</v>
      </c>
      <c r="M739" s="68" t="s">
        <v>736</v>
      </c>
    </row>
    <row r="740" spans="1:13">
      <c r="A740" s="87">
        <v>3602</v>
      </c>
      <c r="B740" s="88" t="s">
        <v>733</v>
      </c>
      <c r="C740" s="87">
        <v>7798269720106</v>
      </c>
      <c r="D740" s="88" t="s">
        <v>734</v>
      </c>
      <c r="E740" s="89">
        <v>8600</v>
      </c>
      <c r="F740" s="89">
        <v>8170</v>
      </c>
      <c r="G740" s="60">
        <v>430</v>
      </c>
      <c r="H740" s="91">
        <v>0.05</v>
      </c>
      <c r="I740" s="86" t="s">
        <v>18</v>
      </c>
      <c r="J740" s="86" t="s">
        <v>735</v>
      </c>
      <c r="K740" s="137">
        <v>46178</v>
      </c>
      <c r="L740" s="137">
        <v>46234</v>
      </c>
      <c r="M740" s="68" t="s">
        <v>736</v>
      </c>
    </row>
    <row r="741" spans="1:13">
      <c r="A741" s="87">
        <v>12798</v>
      </c>
      <c r="B741" s="88">
        <v>170250</v>
      </c>
      <c r="C741" s="87">
        <v>7790415131255</v>
      </c>
      <c r="D741" s="88" t="s">
        <v>1164</v>
      </c>
      <c r="E741" s="89">
        <v>6299.9920000000002</v>
      </c>
      <c r="F741" s="89">
        <v>5039.9936000000007</v>
      </c>
      <c r="G741" s="60">
        <v>1259.9983999999995</v>
      </c>
      <c r="H741" s="91">
        <v>0.2</v>
      </c>
      <c r="I741" s="86" t="s">
        <v>18</v>
      </c>
      <c r="J741" s="86" t="s">
        <v>75</v>
      </c>
      <c r="K741" s="137">
        <v>46178</v>
      </c>
      <c r="L741" s="137">
        <v>46234</v>
      </c>
      <c r="M741" s="68" t="s">
        <v>736</v>
      </c>
    </row>
    <row r="742" spans="1:13">
      <c r="A742" s="87">
        <v>14079</v>
      </c>
      <c r="B742" s="88">
        <v>170100</v>
      </c>
      <c r="C742" s="87">
        <v>7790415130753</v>
      </c>
      <c r="D742" s="88" t="s">
        <v>1165</v>
      </c>
      <c r="E742" s="89">
        <v>6299.9920000000002</v>
      </c>
      <c r="F742" s="89">
        <v>5039.9936000000007</v>
      </c>
      <c r="G742" s="60">
        <v>1259.9983999999995</v>
      </c>
      <c r="H742" s="91">
        <v>0.2</v>
      </c>
      <c r="I742" s="86" t="s">
        <v>18</v>
      </c>
      <c r="J742" s="86" t="s">
        <v>75</v>
      </c>
      <c r="K742" s="137">
        <v>46178</v>
      </c>
      <c r="L742" s="137">
        <v>46234</v>
      </c>
      <c r="M742" s="68" t="s">
        <v>736</v>
      </c>
    </row>
    <row r="743" spans="1:13">
      <c r="A743" s="144">
        <v>20504</v>
      </c>
      <c r="B743" s="138">
        <v>65094</v>
      </c>
      <c r="C743" s="144">
        <v>7798090852670</v>
      </c>
      <c r="D743" s="138" t="s">
        <v>874</v>
      </c>
      <c r="E743" s="142">
        <v>9751.68</v>
      </c>
      <c r="F743" s="142">
        <v>8776.5120000000006</v>
      </c>
      <c r="G743" s="143">
        <v>975.16799999999967</v>
      </c>
      <c r="H743" s="149">
        <v>0.1</v>
      </c>
      <c r="I743" s="147" t="s">
        <v>18</v>
      </c>
      <c r="J743" s="147" t="s">
        <v>23</v>
      </c>
      <c r="K743" s="148">
        <v>46206</v>
      </c>
      <c r="L743" s="148">
        <v>46234</v>
      </c>
      <c r="M743" s="138" t="s">
        <v>736</v>
      </c>
    </row>
    <row r="744" spans="1:13">
      <c r="A744" s="144">
        <v>662933</v>
      </c>
      <c r="B744" s="138">
        <v>65108</v>
      </c>
      <c r="C744" s="144">
        <v>7790070651082</v>
      </c>
      <c r="D744" s="138" t="s">
        <v>875</v>
      </c>
      <c r="E744" s="142">
        <v>17513.599999999999</v>
      </c>
      <c r="F744" s="142">
        <v>15762.24</v>
      </c>
      <c r="G744" s="143">
        <v>1751.3599999999988</v>
      </c>
      <c r="H744" s="149">
        <v>0.1</v>
      </c>
      <c r="I744" s="147" t="s">
        <v>18</v>
      </c>
      <c r="J744" s="147" t="s">
        <v>23</v>
      </c>
      <c r="K744" s="148">
        <v>46206</v>
      </c>
      <c r="L744" s="148">
        <v>46234</v>
      </c>
      <c r="M744" s="138" t="s">
        <v>736</v>
      </c>
    </row>
    <row r="745" spans="1:13">
      <c r="A745" s="144">
        <v>662932</v>
      </c>
      <c r="B745" s="138">
        <v>65104</v>
      </c>
      <c r="C745" s="144">
        <v>7790070651044</v>
      </c>
      <c r="D745" s="138" t="s">
        <v>876</v>
      </c>
      <c r="E745" s="142">
        <v>17513.599999999999</v>
      </c>
      <c r="F745" s="142">
        <v>15762.24</v>
      </c>
      <c r="G745" s="143">
        <v>1751.3599999999988</v>
      </c>
      <c r="H745" s="149">
        <v>0.1</v>
      </c>
      <c r="I745" s="147" t="s">
        <v>18</v>
      </c>
      <c r="J745" s="147" t="s">
        <v>23</v>
      </c>
      <c r="K745" s="148">
        <v>46206</v>
      </c>
      <c r="L745" s="148">
        <v>46234</v>
      </c>
      <c r="M745" s="138" t="s">
        <v>736</v>
      </c>
    </row>
    <row r="746" spans="1:13">
      <c r="A746" s="144">
        <v>662931</v>
      </c>
      <c r="B746" s="138">
        <v>65094</v>
      </c>
      <c r="C746" s="144">
        <v>7790070650948</v>
      </c>
      <c r="D746" s="138" t="s">
        <v>877</v>
      </c>
      <c r="E746" s="142">
        <v>9751.68</v>
      </c>
      <c r="F746" s="142">
        <v>8776.5120000000006</v>
      </c>
      <c r="G746" s="143">
        <v>975.16799999999967</v>
      </c>
      <c r="H746" s="149">
        <v>0.1</v>
      </c>
      <c r="I746" s="147" t="s">
        <v>18</v>
      </c>
      <c r="J746" s="147" t="s">
        <v>23</v>
      </c>
      <c r="K746" s="148">
        <v>46206</v>
      </c>
      <c r="L746" s="148">
        <v>46234</v>
      </c>
      <c r="M746" s="138" t="s">
        <v>736</v>
      </c>
    </row>
    <row r="747" spans="1:13">
      <c r="A747" s="144">
        <v>662930</v>
      </c>
      <c r="B747" s="138">
        <v>65106</v>
      </c>
      <c r="C747" s="144">
        <v>7790070651068</v>
      </c>
      <c r="D747" s="138" t="s">
        <v>878</v>
      </c>
      <c r="E747" s="142">
        <v>9751.68</v>
      </c>
      <c r="F747" s="142">
        <v>8776.5120000000006</v>
      </c>
      <c r="G747" s="143">
        <v>975.16799999999967</v>
      </c>
      <c r="H747" s="149">
        <v>0.1</v>
      </c>
      <c r="I747" s="147" t="s">
        <v>18</v>
      </c>
      <c r="J747" s="147" t="s">
        <v>23</v>
      </c>
      <c r="K747" s="148">
        <v>46206</v>
      </c>
      <c r="L747" s="148">
        <v>46234</v>
      </c>
      <c r="M747" s="138" t="s">
        <v>736</v>
      </c>
    </row>
    <row r="748" spans="1:13">
      <c r="A748" s="144">
        <v>20502</v>
      </c>
      <c r="B748" s="138">
        <v>65106</v>
      </c>
      <c r="C748" s="144">
        <v>7798090852656</v>
      </c>
      <c r="D748" s="138" t="s">
        <v>879</v>
      </c>
      <c r="E748" s="142">
        <v>9751.68</v>
      </c>
      <c r="F748" s="142">
        <v>8776.5120000000006</v>
      </c>
      <c r="G748" s="143">
        <v>975.16799999999967</v>
      </c>
      <c r="H748" s="149">
        <v>0.1</v>
      </c>
      <c r="I748" s="147" t="s">
        <v>18</v>
      </c>
      <c r="J748" s="147" t="s">
        <v>23</v>
      </c>
      <c r="K748" s="148">
        <v>46206</v>
      </c>
      <c r="L748" s="148">
        <v>46234</v>
      </c>
      <c r="M748" s="138" t="s">
        <v>736</v>
      </c>
    </row>
    <row r="749" spans="1:13">
      <c r="A749" s="144">
        <v>101324</v>
      </c>
      <c r="B749" s="138">
        <v>65108</v>
      </c>
      <c r="C749" s="144">
        <v>7798090851888</v>
      </c>
      <c r="D749" s="138" t="s">
        <v>880</v>
      </c>
      <c r="E749" s="142">
        <v>17588.009999999998</v>
      </c>
      <c r="F749" s="142">
        <v>15829.208999999999</v>
      </c>
      <c r="G749" s="143">
        <v>1758.8009999999995</v>
      </c>
      <c r="H749" s="149">
        <v>0.1</v>
      </c>
      <c r="I749" s="147" t="s">
        <v>18</v>
      </c>
      <c r="J749" s="147" t="s">
        <v>23</v>
      </c>
      <c r="K749" s="148">
        <v>46206</v>
      </c>
      <c r="L749" s="148">
        <v>46234</v>
      </c>
      <c r="M749" s="138" t="s">
        <v>736</v>
      </c>
    </row>
    <row r="750" spans="1:13">
      <c r="A750" s="144">
        <v>17682</v>
      </c>
      <c r="B750" s="138">
        <v>65107</v>
      </c>
      <c r="C750" s="144">
        <v>7798090851819</v>
      </c>
      <c r="D750" s="138" t="s">
        <v>881</v>
      </c>
      <c r="E750" s="142">
        <v>17588.009999999998</v>
      </c>
      <c r="F750" s="142">
        <v>15829.208999999999</v>
      </c>
      <c r="G750" s="143">
        <v>1758.8009999999995</v>
      </c>
      <c r="H750" s="149">
        <v>0.1</v>
      </c>
      <c r="I750" s="147" t="s">
        <v>18</v>
      </c>
      <c r="J750" s="147" t="s">
        <v>23</v>
      </c>
      <c r="K750" s="148">
        <v>46206</v>
      </c>
      <c r="L750" s="148">
        <v>46234</v>
      </c>
      <c r="M750" s="138" t="s">
        <v>736</v>
      </c>
    </row>
    <row r="751" spans="1:13">
      <c r="A751" s="144">
        <v>101325</v>
      </c>
      <c r="B751" s="138">
        <v>65104</v>
      </c>
      <c r="C751" s="144">
        <v>7798090851871</v>
      </c>
      <c r="D751" s="138" t="s">
        <v>882</v>
      </c>
      <c r="E751" s="142">
        <v>17588.009999999998</v>
      </c>
      <c r="F751" s="142">
        <v>15829.208999999999</v>
      </c>
      <c r="G751" s="143">
        <v>1758.8009999999995</v>
      </c>
      <c r="H751" s="149">
        <v>0.1</v>
      </c>
      <c r="I751" s="147" t="s">
        <v>18</v>
      </c>
      <c r="J751" s="147" t="s">
        <v>23</v>
      </c>
      <c r="K751" s="148">
        <v>46206</v>
      </c>
      <c r="L751" s="148">
        <v>46234</v>
      </c>
      <c r="M751" s="138" t="s">
        <v>736</v>
      </c>
    </row>
    <row r="752" spans="1:13">
      <c r="A752" s="87">
        <v>665582</v>
      </c>
      <c r="B752" s="88">
        <v>21701</v>
      </c>
      <c r="C752" s="87">
        <v>7790577003117</v>
      </c>
      <c r="D752" s="88" t="s">
        <v>883</v>
      </c>
      <c r="E752" s="89">
        <v>48198.15</v>
      </c>
      <c r="F752" s="89">
        <v>43378.334999999999</v>
      </c>
      <c r="G752" s="60">
        <v>4819.8150000000023</v>
      </c>
      <c r="H752" s="91">
        <v>0.1</v>
      </c>
      <c r="I752" s="86" t="s">
        <v>18</v>
      </c>
      <c r="J752" s="86" t="s">
        <v>23</v>
      </c>
      <c r="K752" s="137">
        <v>46178</v>
      </c>
      <c r="L752" s="137">
        <v>46234</v>
      </c>
      <c r="M752" s="68" t="s">
        <v>736</v>
      </c>
    </row>
    <row r="753" spans="1:13">
      <c r="A753" s="87">
        <v>13031</v>
      </c>
      <c r="B753" s="88">
        <v>21309</v>
      </c>
      <c r="C753" s="87">
        <v>7790577039994</v>
      </c>
      <c r="D753" s="88" t="s">
        <v>884</v>
      </c>
      <c r="E753" s="89">
        <v>18654.099999999999</v>
      </c>
      <c r="F753" s="89">
        <v>16788.689999999999</v>
      </c>
      <c r="G753" s="60">
        <v>1865.4099999999999</v>
      </c>
      <c r="H753" s="91">
        <v>0.1</v>
      </c>
      <c r="I753" s="86" t="s">
        <v>18</v>
      </c>
      <c r="J753" s="86" t="s">
        <v>23</v>
      </c>
      <c r="K753" s="137">
        <v>46178</v>
      </c>
      <c r="L753" s="137">
        <v>46234</v>
      </c>
      <c r="M753" s="68" t="s">
        <v>736</v>
      </c>
    </row>
    <row r="754" spans="1:13">
      <c r="A754" s="87">
        <v>3240</v>
      </c>
      <c r="B754" s="88">
        <v>10101</v>
      </c>
      <c r="C754" s="87">
        <v>7790577000369</v>
      </c>
      <c r="D754" s="88" t="s">
        <v>885</v>
      </c>
      <c r="E754" s="89">
        <v>5393.9989999999998</v>
      </c>
      <c r="F754" s="89">
        <v>4854.5991000000004</v>
      </c>
      <c r="G754" s="60">
        <v>539.39989999999943</v>
      </c>
      <c r="H754" s="91">
        <v>0.1</v>
      </c>
      <c r="I754" s="86" t="s">
        <v>18</v>
      </c>
      <c r="J754" s="86" t="s">
        <v>23</v>
      </c>
      <c r="K754" s="137">
        <v>46178</v>
      </c>
      <c r="L754" s="137">
        <v>46234</v>
      </c>
      <c r="M754" s="68" t="s">
        <v>736</v>
      </c>
    </row>
    <row r="755" spans="1:13">
      <c r="A755" s="87">
        <v>10185</v>
      </c>
      <c r="B755" s="88">
        <v>28301</v>
      </c>
      <c r="C755" s="87">
        <v>7790577039666</v>
      </c>
      <c r="D755" s="88" t="s">
        <v>886</v>
      </c>
      <c r="E755" s="89">
        <v>4784.9930000000004</v>
      </c>
      <c r="F755" s="89">
        <v>4306.4937000000009</v>
      </c>
      <c r="G755" s="60">
        <v>478.49929999999949</v>
      </c>
      <c r="H755" s="91">
        <v>0.1</v>
      </c>
      <c r="I755" s="86" t="s">
        <v>18</v>
      </c>
      <c r="J755" s="86" t="s">
        <v>23</v>
      </c>
      <c r="K755" s="137">
        <v>46178</v>
      </c>
      <c r="L755" s="137">
        <v>46234</v>
      </c>
      <c r="M755" s="68" t="s">
        <v>736</v>
      </c>
    </row>
    <row r="756" spans="1:13">
      <c r="A756" s="87">
        <v>12036</v>
      </c>
      <c r="B756" s="88">
        <v>18801</v>
      </c>
      <c r="C756" s="87">
        <v>7790577039598</v>
      </c>
      <c r="D756" s="88" t="s">
        <v>887</v>
      </c>
      <c r="E756" s="89">
        <v>4784.9930000000004</v>
      </c>
      <c r="F756" s="89">
        <v>4306.4937000000009</v>
      </c>
      <c r="G756" s="60">
        <v>478.49929999999949</v>
      </c>
      <c r="H756" s="91">
        <v>0.1</v>
      </c>
      <c r="I756" s="86" t="s">
        <v>18</v>
      </c>
      <c r="J756" s="86" t="s">
        <v>23</v>
      </c>
      <c r="K756" s="137">
        <v>46178</v>
      </c>
      <c r="L756" s="137">
        <v>46234</v>
      </c>
      <c r="M756" s="68" t="s">
        <v>736</v>
      </c>
    </row>
    <row r="757" spans="1:13">
      <c r="A757" s="87">
        <v>660440</v>
      </c>
      <c r="B757" s="88" t="s">
        <v>1166</v>
      </c>
      <c r="C757" s="87">
        <v>7798074864224</v>
      </c>
      <c r="D757" s="88" t="s">
        <v>1167</v>
      </c>
      <c r="E757" s="89">
        <v>11684.09</v>
      </c>
      <c r="F757" s="89">
        <v>9347.2720000000008</v>
      </c>
      <c r="G757" s="60">
        <v>2336.8179999999993</v>
      </c>
      <c r="H757" s="91">
        <v>0.2</v>
      </c>
      <c r="I757" s="86" t="s">
        <v>18</v>
      </c>
      <c r="J757" s="86" t="s">
        <v>75</v>
      </c>
      <c r="K757" s="137">
        <v>46178</v>
      </c>
      <c r="L757" s="137">
        <v>46234</v>
      </c>
      <c r="M757" s="68" t="s">
        <v>736</v>
      </c>
    </row>
    <row r="758" spans="1:13">
      <c r="A758" s="87">
        <v>660008</v>
      </c>
      <c r="B758" s="88" t="s">
        <v>1168</v>
      </c>
      <c r="C758" s="87">
        <v>7798074860349</v>
      </c>
      <c r="D758" s="88" t="s">
        <v>1169</v>
      </c>
      <c r="E758" s="89">
        <v>11166.45</v>
      </c>
      <c r="F758" s="89">
        <v>8933.1600000000017</v>
      </c>
      <c r="G758" s="60">
        <v>2233.2899999999991</v>
      </c>
      <c r="H758" s="91">
        <v>0.2</v>
      </c>
      <c r="I758" s="86" t="s">
        <v>18</v>
      </c>
      <c r="J758" s="86" t="s">
        <v>75</v>
      </c>
      <c r="K758" s="137">
        <v>46178</v>
      </c>
      <c r="L758" s="137">
        <v>46234</v>
      </c>
      <c r="M758" s="68" t="s">
        <v>736</v>
      </c>
    </row>
    <row r="759" spans="1:13">
      <c r="A759" s="87">
        <v>10309</v>
      </c>
      <c r="B759" s="88" t="s">
        <v>1170</v>
      </c>
      <c r="C759" s="87">
        <v>7798074860318</v>
      </c>
      <c r="D759" s="88" t="s">
        <v>1171</v>
      </c>
      <c r="E759" s="89">
        <v>11166.45</v>
      </c>
      <c r="F759" s="89">
        <v>8933.1600000000017</v>
      </c>
      <c r="G759" s="60">
        <v>2233.2899999999991</v>
      </c>
      <c r="H759" s="91">
        <v>0.2</v>
      </c>
      <c r="I759" s="86" t="s">
        <v>18</v>
      </c>
      <c r="J759" s="86" t="s">
        <v>75</v>
      </c>
      <c r="K759" s="137">
        <v>46178</v>
      </c>
      <c r="L759" s="137">
        <v>46234</v>
      </c>
      <c r="M759" s="68" t="s">
        <v>736</v>
      </c>
    </row>
    <row r="760" spans="1:13">
      <c r="A760" s="87">
        <v>660901</v>
      </c>
      <c r="B760" s="88">
        <v>100165794</v>
      </c>
      <c r="C760" s="87">
        <v>7791728237290</v>
      </c>
      <c r="D760" s="88" t="s">
        <v>1172</v>
      </c>
      <c r="E760" s="89">
        <v>18450</v>
      </c>
      <c r="F760" s="89">
        <v>14760</v>
      </c>
      <c r="G760" s="60">
        <v>3690</v>
      </c>
      <c r="H760" s="91">
        <v>0.2</v>
      </c>
      <c r="I760" s="86" t="s">
        <v>18</v>
      </c>
      <c r="J760" s="86" t="s">
        <v>75</v>
      </c>
      <c r="K760" s="137">
        <v>46178</v>
      </c>
      <c r="L760" s="137">
        <v>46234</v>
      </c>
      <c r="M760" s="68" t="s">
        <v>736</v>
      </c>
    </row>
    <row r="761" spans="1:13">
      <c r="A761" s="87">
        <v>662576</v>
      </c>
      <c r="B761" s="88">
        <v>100177424</v>
      </c>
      <c r="C761" s="87">
        <v>7791728242959</v>
      </c>
      <c r="D761" s="88" t="s">
        <v>1173</v>
      </c>
      <c r="E761" s="89">
        <v>18450</v>
      </c>
      <c r="F761" s="89">
        <v>14760</v>
      </c>
      <c r="G761" s="60">
        <v>3690</v>
      </c>
      <c r="H761" s="91">
        <v>0.2</v>
      </c>
      <c r="I761" s="86" t="s">
        <v>18</v>
      </c>
      <c r="J761" s="86" t="s">
        <v>75</v>
      </c>
      <c r="K761" s="137">
        <v>46178</v>
      </c>
      <c r="L761" s="137">
        <v>46234</v>
      </c>
      <c r="M761" s="68" t="s">
        <v>736</v>
      </c>
    </row>
    <row r="762" spans="1:13">
      <c r="A762" s="87">
        <v>660902</v>
      </c>
      <c r="B762" s="88">
        <v>100172281</v>
      </c>
      <c r="C762" s="87">
        <v>7791728240177</v>
      </c>
      <c r="D762" s="88" t="s">
        <v>1174</v>
      </c>
      <c r="E762" s="89">
        <v>18450</v>
      </c>
      <c r="F762" s="89">
        <v>14760</v>
      </c>
      <c r="G762" s="60">
        <v>3690</v>
      </c>
      <c r="H762" s="91">
        <v>0.2</v>
      </c>
      <c r="I762" s="86" t="s">
        <v>18</v>
      </c>
      <c r="J762" s="86" t="s">
        <v>75</v>
      </c>
      <c r="K762" s="137">
        <v>46178</v>
      </c>
      <c r="L762" s="137">
        <v>46234</v>
      </c>
      <c r="M762" s="68" t="s">
        <v>736</v>
      </c>
    </row>
    <row r="763" spans="1:13">
      <c r="A763" s="87">
        <v>661634</v>
      </c>
      <c r="B763" s="88">
        <v>100194909</v>
      </c>
      <c r="C763" s="87">
        <v>7791728000757</v>
      </c>
      <c r="D763" s="88" t="s">
        <v>1004</v>
      </c>
      <c r="E763" s="89">
        <v>5579.9989999999998</v>
      </c>
      <c r="F763" s="89">
        <v>4742.9991499999996</v>
      </c>
      <c r="G763" s="60">
        <v>836.99985000000015</v>
      </c>
      <c r="H763" s="91">
        <v>0.15</v>
      </c>
      <c r="I763" s="86" t="s">
        <v>18</v>
      </c>
      <c r="J763" s="86" t="s">
        <v>70</v>
      </c>
      <c r="K763" s="137">
        <v>46178</v>
      </c>
      <c r="L763" s="137">
        <v>46234</v>
      </c>
      <c r="M763" s="68" t="s">
        <v>736</v>
      </c>
    </row>
    <row r="764" spans="1:13">
      <c r="A764" s="87">
        <v>2137</v>
      </c>
      <c r="B764" s="88">
        <v>23063</v>
      </c>
      <c r="C764" s="87">
        <v>7798159944339</v>
      </c>
      <c r="D764" s="88" t="s">
        <v>888</v>
      </c>
      <c r="E764" s="89">
        <v>13650</v>
      </c>
      <c r="F764" s="89">
        <v>12285</v>
      </c>
      <c r="G764" s="60">
        <v>1365</v>
      </c>
      <c r="H764" s="91">
        <v>0.1</v>
      </c>
      <c r="I764" s="86" t="s">
        <v>18</v>
      </c>
      <c r="J764" s="86" t="s">
        <v>23</v>
      </c>
      <c r="K764" s="137">
        <v>46178</v>
      </c>
      <c r="L764" s="137">
        <v>46234</v>
      </c>
      <c r="M764" s="68" t="s">
        <v>736</v>
      </c>
    </row>
    <row r="765" spans="1:13">
      <c r="A765" s="87">
        <v>100954</v>
      </c>
      <c r="B765" s="88">
        <v>5297</v>
      </c>
      <c r="C765" s="87">
        <v>7798116190366</v>
      </c>
      <c r="D765" s="88" t="s">
        <v>1249</v>
      </c>
      <c r="E765" s="89">
        <v>6615.4650000000001</v>
      </c>
      <c r="F765" s="89">
        <v>4961.5987500000001</v>
      </c>
      <c r="G765" s="60">
        <v>1653.86625</v>
      </c>
      <c r="H765" s="91">
        <v>0.25</v>
      </c>
      <c r="I765" s="86" t="s">
        <v>18</v>
      </c>
      <c r="J765" s="86" t="s">
        <v>24</v>
      </c>
      <c r="K765" s="137">
        <v>46178</v>
      </c>
      <c r="L765" s="137">
        <v>46234</v>
      </c>
      <c r="M765" s="68" t="s">
        <v>736</v>
      </c>
    </row>
    <row r="766" spans="1:13">
      <c r="A766" s="87">
        <v>100955</v>
      </c>
      <c r="B766" s="88">
        <v>5300</v>
      </c>
      <c r="C766" s="87">
        <v>7798116190342</v>
      </c>
      <c r="D766" s="88" t="s">
        <v>1250</v>
      </c>
      <c r="E766" s="89">
        <v>6615.4650000000001</v>
      </c>
      <c r="F766" s="89">
        <v>4961.5987500000001</v>
      </c>
      <c r="G766" s="60">
        <v>1653.86625</v>
      </c>
      <c r="H766" s="91">
        <v>0.25</v>
      </c>
      <c r="I766" s="86" t="s">
        <v>18</v>
      </c>
      <c r="J766" s="86" t="s">
        <v>24</v>
      </c>
      <c r="K766" s="137">
        <v>46178</v>
      </c>
      <c r="L766" s="137">
        <v>46234</v>
      </c>
      <c r="M766" s="68" t="s">
        <v>736</v>
      </c>
    </row>
    <row r="767" spans="1:13">
      <c r="A767" s="87">
        <v>100957</v>
      </c>
      <c r="B767" s="88">
        <v>5298</v>
      </c>
      <c r="C767" s="87">
        <v>7798116190328</v>
      </c>
      <c r="D767" s="88" t="s">
        <v>1251</v>
      </c>
      <c r="E767" s="89">
        <v>6615.4650000000001</v>
      </c>
      <c r="F767" s="89">
        <v>4961.5987500000001</v>
      </c>
      <c r="G767" s="60">
        <v>1653.86625</v>
      </c>
      <c r="H767" s="91">
        <v>0.25</v>
      </c>
      <c r="I767" s="86" t="s">
        <v>18</v>
      </c>
      <c r="J767" s="86" t="s">
        <v>24</v>
      </c>
      <c r="K767" s="137">
        <v>46178</v>
      </c>
      <c r="L767" s="137">
        <v>46234</v>
      </c>
      <c r="M767" s="68" t="s">
        <v>736</v>
      </c>
    </row>
    <row r="768" spans="1:13">
      <c r="A768" s="87">
        <v>100958</v>
      </c>
      <c r="B768" s="88">
        <v>5302</v>
      </c>
      <c r="C768" s="87">
        <v>7798116191615</v>
      </c>
      <c r="D768" s="88" t="s">
        <v>1252</v>
      </c>
      <c r="E768" s="89">
        <v>6615.4650000000001</v>
      </c>
      <c r="F768" s="89">
        <v>4961.5987500000001</v>
      </c>
      <c r="G768" s="60">
        <v>1653.86625</v>
      </c>
      <c r="H768" s="91">
        <v>0.25</v>
      </c>
      <c r="I768" s="86" t="s">
        <v>18</v>
      </c>
      <c r="J768" s="86" t="s">
        <v>24</v>
      </c>
      <c r="K768" s="137">
        <v>46178</v>
      </c>
      <c r="L768" s="137">
        <v>46234</v>
      </c>
      <c r="M768" s="68" t="s">
        <v>736</v>
      </c>
    </row>
    <row r="769" spans="1:13">
      <c r="A769" s="87">
        <v>663837</v>
      </c>
      <c r="B769" s="88">
        <v>5287</v>
      </c>
      <c r="C769" s="87">
        <v>7798116190069</v>
      </c>
      <c r="D769" s="88" t="s">
        <v>1253</v>
      </c>
      <c r="E769" s="89">
        <v>10315.777</v>
      </c>
      <c r="F769" s="89">
        <v>7736.8327499999996</v>
      </c>
      <c r="G769" s="60">
        <v>2578.9442500000005</v>
      </c>
      <c r="H769" s="91">
        <v>0.25</v>
      </c>
      <c r="I769" s="86" t="s">
        <v>18</v>
      </c>
      <c r="J769" s="86" t="s">
        <v>24</v>
      </c>
      <c r="K769" s="137">
        <v>46178</v>
      </c>
      <c r="L769" s="137">
        <v>46234</v>
      </c>
      <c r="M769" s="68" t="s">
        <v>736</v>
      </c>
    </row>
    <row r="770" spans="1:13">
      <c r="A770" s="87">
        <v>663839</v>
      </c>
      <c r="B770" s="88">
        <v>5289</v>
      </c>
      <c r="C770" s="87">
        <v>7798116190045</v>
      </c>
      <c r="D770" s="88" t="s">
        <v>1254</v>
      </c>
      <c r="E770" s="89">
        <v>10315.777</v>
      </c>
      <c r="F770" s="89">
        <v>7736.8327499999996</v>
      </c>
      <c r="G770" s="60">
        <v>2578.9442500000005</v>
      </c>
      <c r="H770" s="91">
        <v>0.25</v>
      </c>
      <c r="I770" s="86" t="s">
        <v>18</v>
      </c>
      <c r="J770" s="86" t="s">
        <v>24</v>
      </c>
      <c r="K770" s="137">
        <v>46178</v>
      </c>
      <c r="L770" s="137">
        <v>46234</v>
      </c>
      <c r="M770" s="68" t="s">
        <v>736</v>
      </c>
    </row>
    <row r="771" spans="1:13">
      <c r="A771" s="87">
        <v>663835</v>
      </c>
      <c r="B771" s="88">
        <v>5285</v>
      </c>
      <c r="C771" s="87">
        <v>7798116190014</v>
      </c>
      <c r="D771" s="88" t="s">
        <v>1255</v>
      </c>
      <c r="E771" s="89">
        <v>10315.777</v>
      </c>
      <c r="F771" s="89">
        <v>7736.8327499999996</v>
      </c>
      <c r="G771" s="60">
        <v>2578.9442500000005</v>
      </c>
      <c r="H771" s="91">
        <v>0.25</v>
      </c>
      <c r="I771" s="86" t="s">
        <v>18</v>
      </c>
      <c r="J771" s="86" t="s">
        <v>24</v>
      </c>
      <c r="K771" s="137">
        <v>46178</v>
      </c>
      <c r="L771" s="137">
        <v>46234</v>
      </c>
      <c r="M771" s="68" t="s">
        <v>736</v>
      </c>
    </row>
    <row r="772" spans="1:13">
      <c r="A772" s="87">
        <v>663836</v>
      </c>
      <c r="B772" s="88">
        <v>5286</v>
      </c>
      <c r="C772" s="87">
        <v>7798116190021</v>
      </c>
      <c r="D772" s="88" t="s">
        <v>1256</v>
      </c>
      <c r="E772" s="89">
        <v>10315.777</v>
      </c>
      <c r="F772" s="89">
        <v>7736.8327499999996</v>
      </c>
      <c r="G772" s="60">
        <v>2578.9442500000005</v>
      </c>
      <c r="H772" s="91">
        <v>0.25</v>
      </c>
      <c r="I772" s="86" t="s">
        <v>18</v>
      </c>
      <c r="J772" s="86" t="s">
        <v>24</v>
      </c>
      <c r="K772" s="137">
        <v>46178</v>
      </c>
      <c r="L772" s="137">
        <v>46234</v>
      </c>
      <c r="M772" s="68" t="s">
        <v>736</v>
      </c>
    </row>
    <row r="773" spans="1:13">
      <c r="A773" s="87">
        <v>663838</v>
      </c>
      <c r="B773" s="88">
        <v>5288</v>
      </c>
      <c r="C773" s="87">
        <v>7798116190038</v>
      </c>
      <c r="D773" s="88" t="s">
        <v>1257</v>
      </c>
      <c r="E773" s="89">
        <v>10315.777</v>
      </c>
      <c r="F773" s="89">
        <v>7736.8327499999996</v>
      </c>
      <c r="G773" s="60">
        <v>2578.9442500000005</v>
      </c>
      <c r="H773" s="91">
        <v>0.25</v>
      </c>
      <c r="I773" s="86" t="s">
        <v>18</v>
      </c>
      <c r="J773" s="86" t="s">
        <v>24</v>
      </c>
      <c r="K773" s="137">
        <v>46178</v>
      </c>
      <c r="L773" s="137">
        <v>46234</v>
      </c>
      <c r="M773" s="68" t="s">
        <v>736</v>
      </c>
    </row>
    <row r="774" spans="1:13">
      <c r="A774" s="87">
        <v>11209</v>
      </c>
      <c r="B774" s="88" t="s">
        <v>1175</v>
      </c>
      <c r="C774" s="87">
        <v>7798078236027</v>
      </c>
      <c r="D774" s="88" t="s">
        <v>1176</v>
      </c>
      <c r="E774" s="89">
        <v>9360.0810000000001</v>
      </c>
      <c r="F774" s="89">
        <v>7488.0648000000001</v>
      </c>
      <c r="G774" s="60">
        <v>1872.0162</v>
      </c>
      <c r="H774" s="91">
        <v>0.2</v>
      </c>
      <c r="I774" s="86" t="s">
        <v>18</v>
      </c>
      <c r="J774" s="86" t="s">
        <v>75</v>
      </c>
      <c r="K774" s="137">
        <v>46178</v>
      </c>
      <c r="L774" s="137">
        <v>46234</v>
      </c>
      <c r="M774" s="68" t="s">
        <v>736</v>
      </c>
    </row>
    <row r="775" spans="1:13">
      <c r="A775" s="87">
        <v>9780</v>
      </c>
      <c r="B775" s="88" t="s">
        <v>1177</v>
      </c>
      <c r="C775" s="87">
        <v>7798078235440</v>
      </c>
      <c r="D775" s="88" t="s">
        <v>1178</v>
      </c>
      <c r="E775" s="89">
        <v>34200.01</v>
      </c>
      <c r="F775" s="89">
        <v>27360.008000000002</v>
      </c>
      <c r="G775" s="60">
        <v>6840.0020000000004</v>
      </c>
      <c r="H775" s="91">
        <v>0.2</v>
      </c>
      <c r="I775" s="86" t="s">
        <v>18</v>
      </c>
      <c r="J775" s="86" t="s">
        <v>75</v>
      </c>
      <c r="K775" s="137">
        <v>46178</v>
      </c>
      <c r="L775" s="137">
        <v>46234</v>
      </c>
      <c r="M775" s="68" t="s">
        <v>736</v>
      </c>
    </row>
    <row r="776" spans="1:13">
      <c r="A776" s="87">
        <v>661658</v>
      </c>
      <c r="B776" s="88" t="s">
        <v>1179</v>
      </c>
      <c r="C776" s="87">
        <v>6616581111116</v>
      </c>
      <c r="D776" s="88" t="s">
        <v>1180</v>
      </c>
      <c r="E776" s="89">
        <v>52200</v>
      </c>
      <c r="F776" s="89">
        <v>41760</v>
      </c>
      <c r="G776" s="60">
        <v>10440</v>
      </c>
      <c r="H776" s="91">
        <v>0.2</v>
      </c>
      <c r="I776" s="86" t="s">
        <v>18</v>
      </c>
      <c r="J776" s="86" t="s">
        <v>75</v>
      </c>
      <c r="K776" s="137">
        <v>46178</v>
      </c>
      <c r="L776" s="137">
        <v>46234</v>
      </c>
      <c r="M776" s="68" t="s">
        <v>736</v>
      </c>
    </row>
    <row r="777" spans="1:13">
      <c r="A777" s="87">
        <v>65654</v>
      </c>
      <c r="B777" s="88" t="s">
        <v>1181</v>
      </c>
      <c r="C777" s="87">
        <v>7798078236935</v>
      </c>
      <c r="D777" s="88" t="s">
        <v>1182</v>
      </c>
      <c r="E777" s="89">
        <v>15750.16</v>
      </c>
      <c r="F777" s="89">
        <v>12600.128000000001</v>
      </c>
      <c r="G777" s="60">
        <v>3150.0319999999992</v>
      </c>
      <c r="H777" s="91">
        <v>0.2</v>
      </c>
      <c r="I777" s="86" t="s">
        <v>18</v>
      </c>
      <c r="J777" s="86" t="s">
        <v>75</v>
      </c>
      <c r="K777" s="137">
        <v>46178</v>
      </c>
      <c r="L777" s="137">
        <v>46234</v>
      </c>
      <c r="M777" s="68" t="s">
        <v>736</v>
      </c>
    </row>
    <row r="778" spans="1:13">
      <c r="A778" s="87">
        <v>661935</v>
      </c>
      <c r="B778" s="88" t="s">
        <v>1183</v>
      </c>
      <c r="C778" s="87">
        <v>7798078237604</v>
      </c>
      <c r="D778" s="88" t="s">
        <v>1184</v>
      </c>
      <c r="E778" s="89">
        <v>11250.11</v>
      </c>
      <c r="F778" s="89">
        <v>9000.0880000000016</v>
      </c>
      <c r="G778" s="60">
        <v>2250.021999999999</v>
      </c>
      <c r="H778" s="91">
        <v>0.2</v>
      </c>
      <c r="I778" s="86" t="s">
        <v>18</v>
      </c>
      <c r="J778" s="86" t="s">
        <v>75</v>
      </c>
      <c r="K778" s="137">
        <v>46178</v>
      </c>
      <c r="L778" s="137">
        <v>46234</v>
      </c>
      <c r="M778" s="68" t="s">
        <v>736</v>
      </c>
    </row>
    <row r="779" spans="1:13">
      <c r="A779" s="87">
        <v>660082</v>
      </c>
      <c r="B779" s="88" t="s">
        <v>1185</v>
      </c>
      <c r="C779" s="87">
        <v>7798078237116</v>
      </c>
      <c r="D779" s="88" t="s">
        <v>1186</v>
      </c>
      <c r="E779" s="89">
        <v>19800</v>
      </c>
      <c r="F779" s="89">
        <v>15840</v>
      </c>
      <c r="G779" s="60">
        <v>3960</v>
      </c>
      <c r="H779" s="91">
        <v>0.2</v>
      </c>
      <c r="I779" s="86" t="s">
        <v>18</v>
      </c>
      <c r="J779" s="86" t="s">
        <v>75</v>
      </c>
      <c r="K779" s="137">
        <v>46178</v>
      </c>
      <c r="L779" s="137">
        <v>46234</v>
      </c>
      <c r="M779" s="68" t="s">
        <v>736</v>
      </c>
    </row>
    <row r="780" spans="1:13">
      <c r="A780" s="87">
        <v>2628</v>
      </c>
      <c r="B780" s="88" t="s">
        <v>1187</v>
      </c>
      <c r="C780" s="87">
        <v>7798078237154</v>
      </c>
      <c r="D780" s="88" t="s">
        <v>1188</v>
      </c>
      <c r="E780" s="89">
        <v>19800</v>
      </c>
      <c r="F780" s="89">
        <v>15840</v>
      </c>
      <c r="G780" s="60">
        <v>3960</v>
      </c>
      <c r="H780" s="91">
        <v>0.2</v>
      </c>
      <c r="I780" s="86" t="s">
        <v>18</v>
      </c>
      <c r="J780" s="86" t="s">
        <v>75</v>
      </c>
      <c r="K780" s="137">
        <v>46178</v>
      </c>
      <c r="L780" s="137">
        <v>46234</v>
      </c>
      <c r="M780" s="68" t="s">
        <v>736</v>
      </c>
    </row>
    <row r="781" spans="1:13">
      <c r="A781" s="87">
        <v>660081</v>
      </c>
      <c r="B781" s="88" t="s">
        <v>1189</v>
      </c>
      <c r="C781" s="87">
        <v>7798078237178</v>
      </c>
      <c r="D781" s="88" t="s">
        <v>1190</v>
      </c>
      <c r="E781" s="89">
        <v>19800</v>
      </c>
      <c r="F781" s="89">
        <v>15840</v>
      </c>
      <c r="G781" s="60">
        <v>3960</v>
      </c>
      <c r="H781" s="91">
        <v>0.2</v>
      </c>
      <c r="I781" s="86" t="s">
        <v>18</v>
      </c>
      <c r="J781" s="86" t="s">
        <v>75</v>
      </c>
      <c r="K781" s="137">
        <v>46178</v>
      </c>
      <c r="L781" s="137">
        <v>46234</v>
      </c>
      <c r="M781" s="68" t="s">
        <v>736</v>
      </c>
    </row>
    <row r="782" spans="1:13">
      <c r="A782" s="87">
        <v>665354</v>
      </c>
      <c r="B782" s="88" t="s">
        <v>1191</v>
      </c>
      <c r="C782" s="87">
        <v>7798078237970</v>
      </c>
      <c r="D782" s="88" t="s">
        <v>1192</v>
      </c>
      <c r="E782" s="89">
        <v>19800</v>
      </c>
      <c r="F782" s="89">
        <v>15840</v>
      </c>
      <c r="G782" s="60">
        <v>3960</v>
      </c>
      <c r="H782" s="91">
        <v>0.2</v>
      </c>
      <c r="I782" s="86" t="s">
        <v>18</v>
      </c>
      <c r="J782" s="86" t="s">
        <v>75</v>
      </c>
      <c r="K782" s="137">
        <v>46178</v>
      </c>
      <c r="L782" s="137">
        <v>46234</v>
      </c>
      <c r="M782" s="68" t="s">
        <v>736</v>
      </c>
    </row>
    <row r="783" spans="1:13">
      <c r="A783" s="87">
        <v>660080</v>
      </c>
      <c r="B783" s="88" t="s">
        <v>1193</v>
      </c>
      <c r="C783" s="87">
        <v>7798078237130</v>
      </c>
      <c r="D783" s="88" t="s">
        <v>1194</v>
      </c>
      <c r="E783" s="89">
        <v>19800</v>
      </c>
      <c r="F783" s="89">
        <v>15840</v>
      </c>
      <c r="G783" s="60">
        <v>3960</v>
      </c>
      <c r="H783" s="91">
        <v>0.2</v>
      </c>
      <c r="I783" s="86" t="s">
        <v>18</v>
      </c>
      <c r="J783" s="86" t="s">
        <v>75</v>
      </c>
      <c r="K783" s="137">
        <v>46178</v>
      </c>
      <c r="L783" s="137">
        <v>46234</v>
      </c>
      <c r="M783" s="68" t="s">
        <v>736</v>
      </c>
    </row>
    <row r="784" spans="1:13">
      <c r="A784" s="144">
        <v>666673</v>
      </c>
      <c r="B784" s="145">
        <v>0</v>
      </c>
      <c r="C784" s="144">
        <v>7792319972743</v>
      </c>
      <c r="D784" s="138" t="s">
        <v>1270</v>
      </c>
      <c r="E784" s="142">
        <v>5471.37</v>
      </c>
      <c r="F784" s="142">
        <v>3647.5800000000017</v>
      </c>
      <c r="G784" s="143">
        <v>1823.7899999999981</v>
      </c>
      <c r="H784" s="146">
        <v>0.33329999999999999</v>
      </c>
      <c r="I784" s="147" t="s">
        <v>656</v>
      </c>
      <c r="J784" s="147" t="s">
        <v>657</v>
      </c>
      <c r="K784" s="148">
        <v>46206</v>
      </c>
      <c r="L784" s="148">
        <v>46234</v>
      </c>
      <c r="M784" s="68" t="s">
        <v>736</v>
      </c>
    </row>
    <row r="785" spans="1:13">
      <c r="A785" s="144">
        <v>661093</v>
      </c>
      <c r="B785" s="145" t="s">
        <v>1271</v>
      </c>
      <c r="C785" s="144">
        <v>7792319971241</v>
      </c>
      <c r="D785" s="138" t="s">
        <v>1272</v>
      </c>
      <c r="E785" s="142">
        <v>5471.37</v>
      </c>
      <c r="F785" s="142">
        <v>3647.5800000000017</v>
      </c>
      <c r="G785" s="143">
        <v>1823.7899999999981</v>
      </c>
      <c r="H785" s="146">
        <v>0.33329999999999999</v>
      </c>
      <c r="I785" s="147" t="s">
        <v>656</v>
      </c>
      <c r="J785" s="147" t="s">
        <v>657</v>
      </c>
      <c r="K785" s="148">
        <v>46206</v>
      </c>
      <c r="L785" s="148">
        <v>46234</v>
      </c>
      <c r="M785" s="68" t="s">
        <v>736</v>
      </c>
    </row>
    <row r="786" spans="1:13">
      <c r="A786" s="87">
        <v>660585</v>
      </c>
      <c r="B786" s="88">
        <v>46870</v>
      </c>
      <c r="C786" s="87">
        <v>7790314063978</v>
      </c>
      <c r="D786" s="88" t="s">
        <v>1258</v>
      </c>
      <c r="E786" s="89">
        <v>5861.96</v>
      </c>
      <c r="F786" s="89">
        <v>4396.47</v>
      </c>
      <c r="G786" s="60">
        <v>1465.4899999999998</v>
      </c>
      <c r="H786" s="91">
        <v>0.25</v>
      </c>
      <c r="I786" s="86" t="s">
        <v>18</v>
      </c>
      <c r="J786" s="86" t="s">
        <v>24</v>
      </c>
      <c r="K786" s="137">
        <v>46178</v>
      </c>
      <c r="L786" s="137">
        <v>46234</v>
      </c>
      <c r="M786" s="68" t="s">
        <v>736</v>
      </c>
    </row>
    <row r="787" spans="1:13">
      <c r="A787" s="87">
        <v>664818</v>
      </c>
      <c r="B787" s="88">
        <v>0</v>
      </c>
      <c r="C787" s="87">
        <v>7798162670355</v>
      </c>
      <c r="D787" s="88" t="s">
        <v>1195</v>
      </c>
      <c r="E787" s="89">
        <v>3705.299</v>
      </c>
      <c r="F787" s="89">
        <v>2964.2392</v>
      </c>
      <c r="G787" s="60">
        <v>741.0598</v>
      </c>
      <c r="H787" s="91">
        <v>0.2</v>
      </c>
      <c r="I787" s="86" t="s">
        <v>18</v>
      </c>
      <c r="J787" s="86" t="s">
        <v>75</v>
      </c>
      <c r="K787" s="137">
        <v>46178</v>
      </c>
      <c r="L787" s="137">
        <v>46234</v>
      </c>
      <c r="M787" s="68" t="s">
        <v>736</v>
      </c>
    </row>
    <row r="788" spans="1:13">
      <c r="A788" s="87">
        <v>663268</v>
      </c>
      <c r="B788" s="88">
        <v>0</v>
      </c>
      <c r="C788" s="87">
        <v>7798127633142</v>
      </c>
      <c r="D788" s="88" t="s">
        <v>1196</v>
      </c>
      <c r="E788" s="89">
        <v>10906.45</v>
      </c>
      <c r="F788" s="89">
        <v>8725.1600000000017</v>
      </c>
      <c r="G788" s="60">
        <v>2181.2899999999991</v>
      </c>
      <c r="H788" s="91">
        <v>0.2</v>
      </c>
      <c r="I788" s="86" t="s">
        <v>18</v>
      </c>
      <c r="J788" s="86" t="s">
        <v>75</v>
      </c>
      <c r="K788" s="137">
        <v>46178</v>
      </c>
      <c r="L788" s="137">
        <v>46234</v>
      </c>
      <c r="M788" s="68" t="s">
        <v>736</v>
      </c>
    </row>
    <row r="789" spans="1:13">
      <c r="A789" s="87">
        <v>660580</v>
      </c>
      <c r="B789" s="88">
        <v>45840</v>
      </c>
      <c r="C789" s="87">
        <v>7798295210022</v>
      </c>
      <c r="D789" s="88" t="s">
        <v>1259</v>
      </c>
      <c r="E789" s="89">
        <v>6200.8770000000004</v>
      </c>
      <c r="F789" s="89">
        <v>4650.6577500000003</v>
      </c>
      <c r="G789" s="60">
        <v>1550.2192500000001</v>
      </c>
      <c r="H789" s="91">
        <v>0.25</v>
      </c>
      <c r="I789" s="86" t="s">
        <v>18</v>
      </c>
      <c r="J789" s="86" t="s">
        <v>24</v>
      </c>
      <c r="K789" s="137">
        <v>46178</v>
      </c>
      <c r="L789" s="137">
        <v>46234</v>
      </c>
      <c r="M789" s="68" t="s">
        <v>736</v>
      </c>
    </row>
    <row r="790" spans="1:13">
      <c r="A790" s="87">
        <v>664459</v>
      </c>
      <c r="B790" s="88">
        <v>1777</v>
      </c>
      <c r="C790" s="87">
        <v>742832932592</v>
      </c>
      <c r="D790" s="88" t="s">
        <v>1260</v>
      </c>
      <c r="E790" s="89">
        <v>6902.5360000000001</v>
      </c>
      <c r="F790" s="89">
        <v>5176.902</v>
      </c>
      <c r="G790" s="60">
        <v>1725.634</v>
      </c>
      <c r="H790" s="91">
        <v>0.25</v>
      </c>
      <c r="I790" s="86" t="s">
        <v>18</v>
      </c>
      <c r="J790" s="86" t="s">
        <v>24</v>
      </c>
      <c r="K790" s="137">
        <v>46178</v>
      </c>
      <c r="L790" s="137">
        <v>46234</v>
      </c>
      <c r="M790" s="68" t="s">
        <v>736</v>
      </c>
    </row>
    <row r="791" spans="1:13">
      <c r="A791" s="87">
        <v>664457</v>
      </c>
      <c r="B791" s="88">
        <v>1776</v>
      </c>
      <c r="C791" s="87">
        <v>742832741682</v>
      </c>
      <c r="D791" s="88" t="s">
        <v>1261</v>
      </c>
      <c r="E791" s="89">
        <v>6902.5360000000001</v>
      </c>
      <c r="F791" s="89">
        <v>5176.902</v>
      </c>
      <c r="G791" s="60">
        <v>1725.634</v>
      </c>
      <c r="H791" s="91">
        <v>0.25</v>
      </c>
      <c r="I791" s="86" t="s">
        <v>18</v>
      </c>
      <c r="J791" s="86" t="s">
        <v>24</v>
      </c>
      <c r="K791" s="137">
        <v>46178</v>
      </c>
      <c r="L791" s="137">
        <v>46234</v>
      </c>
      <c r="M791" s="68" t="s">
        <v>736</v>
      </c>
    </row>
    <row r="792" spans="1:13">
      <c r="A792" s="87">
        <v>664456</v>
      </c>
      <c r="B792" s="88">
        <v>1775</v>
      </c>
      <c r="C792" s="87">
        <v>742832490238</v>
      </c>
      <c r="D792" s="88" t="s">
        <v>1262</v>
      </c>
      <c r="E792" s="89">
        <v>6902.5360000000001</v>
      </c>
      <c r="F792" s="89">
        <v>5176.902</v>
      </c>
      <c r="G792" s="60">
        <v>1725.634</v>
      </c>
      <c r="H792" s="91">
        <v>0.25</v>
      </c>
      <c r="I792" s="86" t="s">
        <v>18</v>
      </c>
      <c r="J792" s="86" t="s">
        <v>24</v>
      </c>
      <c r="K792" s="137">
        <v>46178</v>
      </c>
      <c r="L792" s="137">
        <v>46234</v>
      </c>
      <c r="M792" s="68" t="s">
        <v>736</v>
      </c>
    </row>
    <row r="793" spans="1:13">
      <c r="A793" s="87">
        <v>663261</v>
      </c>
      <c r="B793" s="88">
        <v>0</v>
      </c>
      <c r="C793" s="87">
        <v>7798127630042</v>
      </c>
      <c r="D793" s="88" t="s">
        <v>1197</v>
      </c>
      <c r="E793" s="89">
        <v>7012.4840000000004</v>
      </c>
      <c r="F793" s="89">
        <v>5609.9872000000005</v>
      </c>
      <c r="G793" s="60">
        <v>1402.4967999999999</v>
      </c>
      <c r="H793" s="91">
        <v>0.2</v>
      </c>
      <c r="I793" s="86" t="s">
        <v>18</v>
      </c>
      <c r="J793" s="86" t="s">
        <v>75</v>
      </c>
      <c r="K793" s="137">
        <v>46178</v>
      </c>
      <c r="L793" s="137">
        <v>46234</v>
      </c>
      <c r="M793" s="68" t="s">
        <v>736</v>
      </c>
    </row>
    <row r="794" spans="1:13">
      <c r="A794" s="87">
        <v>663264</v>
      </c>
      <c r="B794" s="88">
        <v>0</v>
      </c>
      <c r="C794" s="87">
        <v>7798127630165</v>
      </c>
      <c r="D794" s="88" t="s">
        <v>1198</v>
      </c>
      <c r="E794" s="89">
        <v>10720.19</v>
      </c>
      <c r="F794" s="89">
        <v>8576.152</v>
      </c>
      <c r="G794" s="60">
        <v>2144.0380000000005</v>
      </c>
      <c r="H794" s="91">
        <v>0.2</v>
      </c>
      <c r="I794" s="86" t="s">
        <v>18</v>
      </c>
      <c r="J794" s="86" t="s">
        <v>75</v>
      </c>
      <c r="K794" s="137">
        <v>46178</v>
      </c>
      <c r="L794" s="137">
        <v>46234</v>
      </c>
      <c r="M794" s="68" t="s">
        <v>736</v>
      </c>
    </row>
    <row r="795" spans="1:13">
      <c r="A795" s="87">
        <v>663265</v>
      </c>
      <c r="B795" s="88">
        <v>0</v>
      </c>
      <c r="C795" s="87">
        <v>7798127630837</v>
      </c>
      <c r="D795" s="88" t="s">
        <v>1199</v>
      </c>
      <c r="E795" s="89">
        <v>18282.990000000002</v>
      </c>
      <c r="F795" s="89">
        <v>14626.392000000002</v>
      </c>
      <c r="G795" s="60">
        <v>3656.598</v>
      </c>
      <c r="H795" s="91">
        <v>0.2</v>
      </c>
      <c r="I795" s="86" t="s">
        <v>18</v>
      </c>
      <c r="J795" s="86" t="s">
        <v>75</v>
      </c>
      <c r="K795" s="137">
        <v>46178</v>
      </c>
      <c r="L795" s="137">
        <v>46234</v>
      </c>
      <c r="M795" s="68" t="s">
        <v>736</v>
      </c>
    </row>
    <row r="796" spans="1:13">
      <c r="A796" s="87">
        <v>663263</v>
      </c>
      <c r="B796" s="88">
        <v>0</v>
      </c>
      <c r="C796" s="87">
        <v>7798127630134</v>
      </c>
      <c r="D796" s="88" t="s">
        <v>1200</v>
      </c>
      <c r="E796" s="89">
        <v>10720.19</v>
      </c>
      <c r="F796" s="89">
        <v>8576.152</v>
      </c>
      <c r="G796" s="60">
        <v>2144.0380000000005</v>
      </c>
      <c r="H796" s="91">
        <v>0.2</v>
      </c>
      <c r="I796" s="86" t="s">
        <v>18</v>
      </c>
      <c r="J796" s="86" t="s">
        <v>75</v>
      </c>
      <c r="K796" s="137">
        <v>46178</v>
      </c>
      <c r="L796" s="137">
        <v>46234</v>
      </c>
      <c r="M796" s="68" t="s">
        <v>736</v>
      </c>
    </row>
    <row r="797" spans="1:13">
      <c r="A797" s="87">
        <v>8674</v>
      </c>
      <c r="B797" s="88">
        <v>100194931</v>
      </c>
      <c r="C797" s="87">
        <v>7791728000351</v>
      </c>
      <c r="D797" s="88" t="s">
        <v>1005</v>
      </c>
      <c r="E797" s="89">
        <v>5579.9989999999998</v>
      </c>
      <c r="F797" s="89">
        <v>4742.9991499999996</v>
      </c>
      <c r="G797" s="60">
        <v>836.99985000000015</v>
      </c>
      <c r="H797" s="91">
        <v>0.15</v>
      </c>
      <c r="I797" s="86" t="s">
        <v>18</v>
      </c>
      <c r="J797" s="86" t="s">
        <v>70</v>
      </c>
      <c r="K797" s="137">
        <v>46178</v>
      </c>
      <c r="L797" s="137">
        <v>46234</v>
      </c>
      <c r="M797" s="68" t="s">
        <v>736</v>
      </c>
    </row>
    <row r="798" spans="1:13">
      <c r="A798" s="87">
        <v>662575</v>
      </c>
      <c r="B798" s="88">
        <v>100190288</v>
      </c>
      <c r="C798" s="87">
        <v>7791728233490</v>
      </c>
      <c r="D798" s="88" t="s">
        <v>1006</v>
      </c>
      <c r="E798" s="89">
        <v>5579.9989999999998</v>
      </c>
      <c r="F798" s="89">
        <v>4742.9991499999996</v>
      </c>
      <c r="G798" s="60">
        <v>836.99985000000015</v>
      </c>
      <c r="H798" s="91">
        <v>0.15</v>
      </c>
      <c r="I798" s="86" t="s">
        <v>18</v>
      </c>
      <c r="J798" s="86" t="s">
        <v>70</v>
      </c>
      <c r="K798" s="137">
        <v>46178</v>
      </c>
      <c r="L798" s="137">
        <v>46234</v>
      </c>
      <c r="M798" s="68" t="s">
        <v>736</v>
      </c>
    </row>
    <row r="799" spans="1:13">
      <c r="A799" s="87">
        <v>8636</v>
      </c>
      <c r="B799" s="88">
        <v>100194893</v>
      </c>
      <c r="C799" s="87">
        <v>7791728000535</v>
      </c>
      <c r="D799" s="88" t="s">
        <v>1007</v>
      </c>
      <c r="E799" s="89">
        <v>8009.9939999999997</v>
      </c>
      <c r="F799" s="89">
        <v>6808.4948999999997</v>
      </c>
      <c r="G799" s="60">
        <v>1201.4991</v>
      </c>
      <c r="H799" s="91">
        <v>0.15</v>
      </c>
      <c r="I799" s="86" t="s">
        <v>18</v>
      </c>
      <c r="J799" s="86" t="s">
        <v>70</v>
      </c>
      <c r="K799" s="137">
        <v>46178</v>
      </c>
      <c r="L799" s="137">
        <v>46234</v>
      </c>
      <c r="M799" s="68" t="s">
        <v>736</v>
      </c>
    </row>
    <row r="800" spans="1:13">
      <c r="A800" s="87">
        <v>662578</v>
      </c>
      <c r="B800" s="88">
        <v>100179779</v>
      </c>
      <c r="C800" s="87">
        <v>7791728243628</v>
      </c>
      <c r="D800" s="88" t="s">
        <v>1008</v>
      </c>
      <c r="E800" s="89">
        <v>12075</v>
      </c>
      <c r="F800" s="89">
        <v>10263.75</v>
      </c>
      <c r="G800" s="60">
        <v>1811.25</v>
      </c>
      <c r="H800" s="91">
        <v>0.15</v>
      </c>
      <c r="I800" s="86" t="s">
        <v>18</v>
      </c>
      <c r="J800" s="86" t="s">
        <v>70</v>
      </c>
      <c r="K800" s="137">
        <v>46178</v>
      </c>
      <c r="L800" s="137">
        <v>46234</v>
      </c>
      <c r="M800" s="68" t="s">
        <v>736</v>
      </c>
    </row>
    <row r="801" spans="1:13">
      <c r="A801" s="87">
        <v>663281</v>
      </c>
      <c r="B801" s="88" t="s">
        <v>889</v>
      </c>
      <c r="C801" s="87">
        <v>7794450940384</v>
      </c>
      <c r="D801" s="88" t="s">
        <v>890</v>
      </c>
      <c r="E801" s="89">
        <v>25470</v>
      </c>
      <c r="F801" s="89">
        <v>22923</v>
      </c>
      <c r="G801" s="60">
        <v>2547</v>
      </c>
      <c r="H801" s="91">
        <v>0.1</v>
      </c>
      <c r="I801" s="86" t="s">
        <v>18</v>
      </c>
      <c r="J801" s="86" t="s">
        <v>23</v>
      </c>
      <c r="K801" s="137">
        <v>46178</v>
      </c>
      <c r="L801" s="137">
        <v>46234</v>
      </c>
      <c r="M801" s="68" t="s">
        <v>736</v>
      </c>
    </row>
    <row r="802" spans="1:13">
      <c r="A802" s="87">
        <v>12035</v>
      </c>
      <c r="B802" s="88" t="s">
        <v>891</v>
      </c>
      <c r="C802" s="87">
        <v>7794450002549</v>
      </c>
      <c r="D802" s="88" t="s">
        <v>892</v>
      </c>
      <c r="E802" s="89">
        <v>15209.99</v>
      </c>
      <c r="F802" s="89">
        <v>13688.991</v>
      </c>
      <c r="G802" s="60">
        <v>1520.9989999999998</v>
      </c>
      <c r="H802" s="91">
        <v>0.1</v>
      </c>
      <c r="I802" s="86" t="s">
        <v>18</v>
      </c>
      <c r="J802" s="86" t="s">
        <v>23</v>
      </c>
      <c r="K802" s="137">
        <v>46178</v>
      </c>
      <c r="L802" s="137">
        <v>46234</v>
      </c>
      <c r="M802" s="68" t="s">
        <v>736</v>
      </c>
    </row>
    <row r="803" spans="1:13">
      <c r="A803" s="87">
        <v>664058</v>
      </c>
      <c r="B803" s="88" t="s">
        <v>893</v>
      </c>
      <c r="C803" s="87">
        <v>7794450943170</v>
      </c>
      <c r="D803" s="88" t="s">
        <v>894</v>
      </c>
      <c r="E803" s="89">
        <v>15209.99</v>
      </c>
      <c r="F803" s="89">
        <v>13688.991</v>
      </c>
      <c r="G803" s="60">
        <v>1520.9989999999998</v>
      </c>
      <c r="H803" s="91">
        <v>0.1</v>
      </c>
      <c r="I803" s="86" t="s">
        <v>18</v>
      </c>
      <c r="J803" s="86" t="s">
        <v>23</v>
      </c>
      <c r="K803" s="137">
        <v>46178</v>
      </c>
      <c r="L803" s="137">
        <v>46234</v>
      </c>
      <c r="M803" s="68" t="s">
        <v>736</v>
      </c>
    </row>
    <row r="804" spans="1:13">
      <c r="A804" s="87">
        <v>664061</v>
      </c>
      <c r="B804" s="88" t="s">
        <v>895</v>
      </c>
      <c r="C804" s="87">
        <v>6640611111111</v>
      </c>
      <c r="D804" s="88" t="s">
        <v>896</v>
      </c>
      <c r="E804" s="89">
        <v>29960.34</v>
      </c>
      <c r="F804" s="89">
        <v>26964.306</v>
      </c>
      <c r="G804" s="60">
        <v>2996.0339999999997</v>
      </c>
      <c r="H804" s="91">
        <v>0.1</v>
      </c>
      <c r="I804" s="86" t="s">
        <v>18</v>
      </c>
      <c r="J804" s="86" t="s">
        <v>23</v>
      </c>
      <c r="K804" s="137">
        <v>46178</v>
      </c>
      <c r="L804" s="137">
        <v>46234</v>
      </c>
      <c r="M804" s="68" t="s">
        <v>736</v>
      </c>
    </row>
    <row r="805" spans="1:13">
      <c r="A805" s="87">
        <v>1030</v>
      </c>
      <c r="B805" s="88">
        <v>20250</v>
      </c>
      <c r="C805" s="87">
        <v>7790704167644</v>
      </c>
      <c r="D805" s="88" t="s">
        <v>897</v>
      </c>
      <c r="E805" s="89">
        <v>3445.538</v>
      </c>
      <c r="F805" s="89">
        <v>3100.9841999999999</v>
      </c>
      <c r="G805" s="60">
        <v>344.55380000000014</v>
      </c>
      <c r="H805" s="91">
        <v>0.1</v>
      </c>
      <c r="I805" s="86" t="s">
        <v>18</v>
      </c>
      <c r="J805" s="86" t="s">
        <v>23</v>
      </c>
      <c r="K805" s="137">
        <v>46178</v>
      </c>
      <c r="L805" s="137">
        <v>46234</v>
      </c>
      <c r="M805" s="68" t="s">
        <v>736</v>
      </c>
    </row>
    <row r="806" spans="1:13">
      <c r="A806" s="144">
        <v>665367</v>
      </c>
      <c r="B806" s="145" t="s">
        <v>1310</v>
      </c>
      <c r="C806" s="144">
        <v>7792319971746</v>
      </c>
      <c r="D806" s="138" t="s">
        <v>1311</v>
      </c>
      <c r="E806" s="142">
        <v>3975</v>
      </c>
      <c r="F806" s="142">
        <v>2650.0000000000014</v>
      </c>
      <c r="G806" s="143">
        <v>1324.9999999999986</v>
      </c>
      <c r="H806" s="146">
        <v>0.33329999999999999</v>
      </c>
      <c r="I806" s="147" t="s">
        <v>656</v>
      </c>
      <c r="J806" s="147" t="s">
        <v>657</v>
      </c>
      <c r="K806" s="148">
        <v>46206</v>
      </c>
      <c r="L806" s="148">
        <v>46234</v>
      </c>
      <c r="M806" s="68" t="s">
        <v>736</v>
      </c>
    </row>
    <row r="807" spans="1:13">
      <c r="A807" s="144">
        <v>665368</v>
      </c>
      <c r="B807" s="145" t="s">
        <v>1312</v>
      </c>
      <c r="C807" s="144">
        <v>7792319971777</v>
      </c>
      <c r="D807" s="138" t="s">
        <v>1313</v>
      </c>
      <c r="E807" s="142">
        <v>3975</v>
      </c>
      <c r="F807" s="142">
        <v>2650.0000000000014</v>
      </c>
      <c r="G807" s="143">
        <v>1324.9999999999986</v>
      </c>
      <c r="H807" s="146">
        <v>0.33329999999999999</v>
      </c>
      <c r="I807" s="147" t="s">
        <v>656</v>
      </c>
      <c r="J807" s="147" t="s">
        <v>657</v>
      </c>
      <c r="K807" s="148">
        <v>46206</v>
      </c>
      <c r="L807" s="148">
        <v>46234</v>
      </c>
      <c r="M807" s="68" t="s">
        <v>736</v>
      </c>
    </row>
    <row r="808" spans="1:13">
      <c r="A808" s="150">
        <v>665366</v>
      </c>
      <c r="B808" s="145" t="s">
        <v>1314</v>
      </c>
      <c r="C808" s="144">
        <v>7792319971722</v>
      </c>
      <c r="D808" s="138" t="s">
        <v>1315</v>
      </c>
      <c r="E808" s="142">
        <v>3975</v>
      </c>
      <c r="F808" s="142">
        <v>2650.0000000000014</v>
      </c>
      <c r="G808" s="143">
        <v>1324.9999999999986</v>
      </c>
      <c r="H808" s="146">
        <v>0.33329999999999999</v>
      </c>
      <c r="I808" s="147" t="s">
        <v>656</v>
      </c>
      <c r="J808" s="147" t="s">
        <v>657</v>
      </c>
      <c r="K808" s="148">
        <v>46206</v>
      </c>
      <c r="L808" s="148">
        <v>46234</v>
      </c>
      <c r="M808" s="167" t="s">
        <v>736</v>
      </c>
    </row>
    <row r="809" spans="1:13">
      <c r="A809" s="160">
        <v>664286</v>
      </c>
      <c r="B809" s="88">
        <v>52776</v>
      </c>
      <c r="C809" s="87">
        <v>7790093527760</v>
      </c>
      <c r="D809" s="88" t="s">
        <v>1201</v>
      </c>
      <c r="E809" s="89">
        <v>12394.58</v>
      </c>
      <c r="F809" s="89">
        <v>9915.6640000000007</v>
      </c>
      <c r="G809" s="60">
        <v>2478.9159999999993</v>
      </c>
      <c r="H809" s="91">
        <v>0.2</v>
      </c>
      <c r="I809" s="86" t="s">
        <v>18</v>
      </c>
      <c r="J809" s="86" t="s">
        <v>75</v>
      </c>
      <c r="K809" s="137">
        <v>46178</v>
      </c>
      <c r="L809" s="137">
        <v>46234</v>
      </c>
      <c r="M809" s="167" t="s">
        <v>736</v>
      </c>
    </row>
    <row r="810" spans="1:13">
      <c r="A810" s="160">
        <v>665648</v>
      </c>
      <c r="B810" s="88">
        <v>100199520</v>
      </c>
      <c r="C810" s="87">
        <v>7791728249286</v>
      </c>
      <c r="D810" s="88" t="s">
        <v>1009</v>
      </c>
      <c r="E810" s="89">
        <v>41400</v>
      </c>
      <c r="F810" s="89">
        <v>35190</v>
      </c>
      <c r="G810" s="60">
        <v>6210</v>
      </c>
      <c r="H810" s="91">
        <v>0.15</v>
      </c>
      <c r="I810" s="86" t="s">
        <v>18</v>
      </c>
      <c r="J810" s="86" t="s">
        <v>70</v>
      </c>
      <c r="K810" s="137">
        <v>46178</v>
      </c>
      <c r="L810" s="137">
        <v>46234</v>
      </c>
      <c r="M810" s="167" t="s">
        <v>736</v>
      </c>
    </row>
    <row r="811" spans="1:13">
      <c r="A811" s="160">
        <v>2222</v>
      </c>
      <c r="B811" s="88">
        <v>76280</v>
      </c>
      <c r="C811" s="87">
        <v>7790314000966</v>
      </c>
      <c r="D811" s="88" t="s">
        <v>1263</v>
      </c>
      <c r="E811" s="89">
        <v>2687.3330000000001</v>
      </c>
      <c r="F811" s="89">
        <v>2015.4997499999999</v>
      </c>
      <c r="G811" s="60">
        <v>671.83325000000013</v>
      </c>
      <c r="H811" s="91">
        <v>0.25</v>
      </c>
      <c r="I811" s="86" t="s">
        <v>18</v>
      </c>
      <c r="J811" s="86" t="s">
        <v>24</v>
      </c>
      <c r="K811" s="137">
        <v>46178</v>
      </c>
      <c r="L811" s="137">
        <v>46234</v>
      </c>
      <c r="M811" s="167" t="s">
        <v>736</v>
      </c>
    </row>
    <row r="812" spans="1:13">
      <c r="A812" s="160">
        <v>659868</v>
      </c>
      <c r="B812" s="88">
        <v>74664</v>
      </c>
      <c r="C812" s="87">
        <v>7790240198171</v>
      </c>
      <c r="D812" s="88" t="s">
        <v>898</v>
      </c>
      <c r="E812" s="89">
        <v>9624.1720000000005</v>
      </c>
      <c r="F812" s="89">
        <v>8661.7548000000006</v>
      </c>
      <c r="G812" s="60">
        <v>962.41719999999987</v>
      </c>
      <c r="H812" s="91">
        <v>0.1</v>
      </c>
      <c r="I812" s="86" t="s">
        <v>18</v>
      </c>
      <c r="J812" s="86" t="s">
        <v>23</v>
      </c>
      <c r="K812" s="137">
        <v>46178</v>
      </c>
      <c r="L812" s="137">
        <v>46234</v>
      </c>
      <c r="M812" s="167" t="s">
        <v>736</v>
      </c>
    </row>
    <row r="813" spans="1:13">
      <c r="A813" s="160">
        <v>20056</v>
      </c>
      <c r="B813" s="88">
        <v>74556</v>
      </c>
      <c r="C813" s="87">
        <v>7790240196771</v>
      </c>
      <c r="D813" s="88" t="s">
        <v>899</v>
      </c>
      <c r="E813" s="89">
        <v>9624.1720000000005</v>
      </c>
      <c r="F813" s="89">
        <v>8661.7548000000006</v>
      </c>
      <c r="G813" s="60">
        <v>962.41719999999987</v>
      </c>
      <c r="H813" s="91">
        <v>0.1</v>
      </c>
      <c r="I813" s="86" t="s">
        <v>18</v>
      </c>
      <c r="J813" s="86" t="s">
        <v>23</v>
      </c>
      <c r="K813" s="137">
        <v>46178</v>
      </c>
      <c r="L813" s="137">
        <v>46234</v>
      </c>
      <c r="M813" s="167" t="s">
        <v>736</v>
      </c>
    </row>
    <row r="814" spans="1:13">
      <c r="A814" s="160">
        <v>659869</v>
      </c>
      <c r="B814" s="88">
        <v>74663</v>
      </c>
      <c r="C814" s="87">
        <v>7790240198188</v>
      </c>
      <c r="D814" s="88" t="s">
        <v>900</v>
      </c>
      <c r="E814" s="89">
        <v>9624.1720000000005</v>
      </c>
      <c r="F814" s="89">
        <v>8661.7548000000006</v>
      </c>
      <c r="G814" s="60">
        <v>962.41719999999987</v>
      </c>
      <c r="H814" s="91">
        <v>0.1</v>
      </c>
      <c r="I814" s="86" t="s">
        <v>18</v>
      </c>
      <c r="J814" s="86" t="s">
        <v>23</v>
      </c>
      <c r="K814" s="137">
        <v>46178</v>
      </c>
      <c r="L814" s="137">
        <v>46234</v>
      </c>
      <c r="M814" s="167" t="s">
        <v>736</v>
      </c>
    </row>
    <row r="815" spans="1:13">
      <c r="A815" s="160">
        <v>1210</v>
      </c>
      <c r="B815" s="88">
        <v>74555</v>
      </c>
      <c r="C815" s="87">
        <v>7790240096767</v>
      </c>
      <c r="D815" s="88" t="s">
        <v>901</v>
      </c>
      <c r="E815" s="89">
        <v>9624.1720000000005</v>
      </c>
      <c r="F815" s="89">
        <v>8661.7548000000006</v>
      </c>
      <c r="G815" s="60">
        <v>962.41719999999987</v>
      </c>
      <c r="H815" s="91">
        <v>0.1</v>
      </c>
      <c r="I815" s="86" t="s">
        <v>18</v>
      </c>
      <c r="J815" s="86" t="s">
        <v>23</v>
      </c>
      <c r="K815" s="137">
        <v>46178</v>
      </c>
      <c r="L815" s="137">
        <v>46234</v>
      </c>
      <c r="M815" s="167" t="s">
        <v>736</v>
      </c>
    </row>
    <row r="816" spans="1:13">
      <c r="A816" s="160">
        <v>660838</v>
      </c>
      <c r="B816" s="88">
        <v>1213</v>
      </c>
      <c r="C816" s="87">
        <v>7798039598140</v>
      </c>
      <c r="D816" s="88" t="s">
        <v>1010</v>
      </c>
      <c r="E816" s="89">
        <v>14714.99</v>
      </c>
      <c r="F816" s="89">
        <v>12507.7415</v>
      </c>
      <c r="G816" s="60">
        <v>2207.2484999999997</v>
      </c>
      <c r="H816" s="91">
        <v>0.15</v>
      </c>
      <c r="I816" s="86" t="s">
        <v>18</v>
      </c>
      <c r="J816" s="86" t="s">
        <v>70</v>
      </c>
      <c r="K816" s="137">
        <v>46178</v>
      </c>
      <c r="L816" s="137">
        <v>46234</v>
      </c>
      <c r="M816" s="167" t="s">
        <v>736</v>
      </c>
    </row>
    <row r="817" spans="1:13">
      <c r="A817" s="160">
        <v>660787</v>
      </c>
      <c r="B817" s="88">
        <v>1202</v>
      </c>
      <c r="C817" s="87">
        <v>7798039597815</v>
      </c>
      <c r="D817" s="88" t="s">
        <v>1011</v>
      </c>
      <c r="E817" s="89">
        <v>14714.99</v>
      </c>
      <c r="F817" s="89">
        <v>12507.7415</v>
      </c>
      <c r="G817" s="60">
        <v>2207.2484999999997</v>
      </c>
      <c r="H817" s="91">
        <v>0.15</v>
      </c>
      <c r="I817" s="86" t="s">
        <v>18</v>
      </c>
      <c r="J817" s="86" t="s">
        <v>70</v>
      </c>
      <c r="K817" s="137">
        <v>46178</v>
      </c>
      <c r="L817" s="137">
        <v>46234</v>
      </c>
      <c r="M817" s="167" t="s">
        <v>736</v>
      </c>
    </row>
    <row r="818" spans="1:13">
      <c r="A818" s="87">
        <v>6602</v>
      </c>
      <c r="B818" s="88">
        <v>27903</v>
      </c>
      <c r="C818" s="87">
        <v>7790577040617</v>
      </c>
      <c r="D818" s="88" t="s">
        <v>902</v>
      </c>
      <c r="E818" s="89">
        <v>12354</v>
      </c>
      <c r="F818" s="89">
        <v>11118.6</v>
      </c>
      <c r="G818" s="60">
        <v>1235.3999999999996</v>
      </c>
      <c r="H818" s="91">
        <v>0.1</v>
      </c>
      <c r="I818" s="86" t="s">
        <v>18</v>
      </c>
      <c r="J818" s="86" t="s">
        <v>23</v>
      </c>
      <c r="K818" s="137">
        <v>46178</v>
      </c>
      <c r="L818" s="137">
        <v>46234</v>
      </c>
      <c r="M818" s="68" t="s">
        <v>736</v>
      </c>
    </row>
    <row r="819" spans="1:13">
      <c r="A819" s="87">
        <v>9838</v>
      </c>
      <c r="B819" s="88">
        <v>37901</v>
      </c>
      <c r="C819" s="87">
        <v>7790577040990</v>
      </c>
      <c r="D819" s="88" t="s">
        <v>903</v>
      </c>
      <c r="E819" s="89">
        <v>12354</v>
      </c>
      <c r="F819" s="89">
        <v>11118.6</v>
      </c>
      <c r="G819" s="60">
        <v>1235.3999999999996</v>
      </c>
      <c r="H819" s="91">
        <v>0.1</v>
      </c>
      <c r="I819" s="86" t="s">
        <v>18</v>
      </c>
      <c r="J819" s="86" t="s">
        <v>23</v>
      </c>
      <c r="K819" s="137">
        <v>46178</v>
      </c>
      <c r="L819" s="137">
        <v>46234</v>
      </c>
      <c r="M819" s="68" t="s">
        <v>736</v>
      </c>
    </row>
    <row r="820" spans="1:13">
      <c r="A820" s="87">
        <v>663041</v>
      </c>
      <c r="B820" s="88">
        <v>1041030102</v>
      </c>
      <c r="C820" s="87">
        <v>7798115618182</v>
      </c>
      <c r="D820" s="88" t="s">
        <v>1264</v>
      </c>
      <c r="E820" s="89">
        <v>23000.46</v>
      </c>
      <c r="F820" s="89">
        <v>17250.345000000001</v>
      </c>
      <c r="G820" s="60">
        <v>5750.114999999998</v>
      </c>
      <c r="H820" s="91">
        <v>0.25</v>
      </c>
      <c r="I820" s="86" t="s">
        <v>18</v>
      </c>
      <c r="J820" s="86" t="s">
        <v>24</v>
      </c>
      <c r="K820" s="137">
        <v>46178</v>
      </c>
      <c r="L820" s="137">
        <v>46234</v>
      </c>
      <c r="M820" s="68" t="s">
        <v>736</v>
      </c>
    </row>
    <row r="821" spans="1:13">
      <c r="A821" s="87">
        <v>663040</v>
      </c>
      <c r="B821" s="88">
        <v>1041030090</v>
      </c>
      <c r="C821" s="87">
        <v>7798115617291</v>
      </c>
      <c r="D821" s="88" t="s">
        <v>1265</v>
      </c>
      <c r="E821" s="89">
        <v>23000.46</v>
      </c>
      <c r="F821" s="89">
        <v>17250.345000000001</v>
      </c>
      <c r="G821" s="60">
        <v>5750.114999999998</v>
      </c>
      <c r="H821" s="91">
        <v>0.25</v>
      </c>
      <c r="I821" s="86" t="s">
        <v>18</v>
      </c>
      <c r="J821" s="86" t="s">
        <v>24</v>
      </c>
      <c r="K821" s="137">
        <v>46178</v>
      </c>
      <c r="L821" s="137">
        <v>46234</v>
      </c>
      <c r="M821" s="68" t="s">
        <v>736</v>
      </c>
    </row>
    <row r="822" spans="1:13">
      <c r="A822" s="87">
        <v>663043</v>
      </c>
      <c r="B822" s="88">
        <v>1041030039</v>
      </c>
      <c r="C822" s="87">
        <v>7798115616522</v>
      </c>
      <c r="D822" s="88" t="s">
        <v>1266</v>
      </c>
      <c r="E822" s="89">
        <v>14000.28</v>
      </c>
      <c r="F822" s="89">
        <v>10500.210000000001</v>
      </c>
      <c r="G822" s="60">
        <v>3500.0699999999997</v>
      </c>
      <c r="H822" s="91">
        <v>0.25</v>
      </c>
      <c r="I822" s="86" t="s">
        <v>18</v>
      </c>
      <c r="J822" s="86" t="s">
        <v>24</v>
      </c>
      <c r="K822" s="137">
        <v>46178</v>
      </c>
      <c r="L822" s="137">
        <v>46234</v>
      </c>
      <c r="M822" s="68" t="s">
        <v>736</v>
      </c>
    </row>
    <row r="823" spans="1:13">
      <c r="A823" s="87">
        <v>663044</v>
      </c>
      <c r="B823" s="88">
        <v>1041030001</v>
      </c>
      <c r="C823" s="87">
        <v>7798115616652</v>
      </c>
      <c r="D823" s="88" t="s">
        <v>1267</v>
      </c>
      <c r="E823" s="89">
        <v>14000.28</v>
      </c>
      <c r="F823" s="89">
        <v>10500.210000000001</v>
      </c>
      <c r="G823" s="60">
        <v>3500.0699999999997</v>
      </c>
      <c r="H823" s="91">
        <v>0.25</v>
      </c>
      <c r="I823" s="86" t="s">
        <v>18</v>
      </c>
      <c r="J823" s="86" t="s">
        <v>24</v>
      </c>
      <c r="K823" s="137">
        <v>46178</v>
      </c>
      <c r="L823" s="137">
        <v>46234</v>
      </c>
      <c r="M823" s="68" t="s">
        <v>736</v>
      </c>
    </row>
    <row r="824" spans="1:13">
      <c r="A824" s="87">
        <v>663045</v>
      </c>
      <c r="B824" s="88">
        <v>1041030012</v>
      </c>
      <c r="C824" s="87">
        <v>7798115616416</v>
      </c>
      <c r="D824" s="88" t="s">
        <v>1268</v>
      </c>
      <c r="E824" s="89">
        <v>14000.28</v>
      </c>
      <c r="F824" s="89">
        <v>10500.210000000001</v>
      </c>
      <c r="G824" s="60">
        <v>3500.0699999999997</v>
      </c>
      <c r="H824" s="91">
        <v>0.25</v>
      </c>
      <c r="I824" s="86" t="s">
        <v>18</v>
      </c>
      <c r="J824" s="86" t="s">
        <v>24</v>
      </c>
      <c r="K824" s="137">
        <v>46178</v>
      </c>
      <c r="L824" s="137">
        <v>46234</v>
      </c>
      <c r="M824" s="68" t="s">
        <v>736</v>
      </c>
    </row>
    <row r="825" spans="1:13">
      <c r="A825" s="87">
        <v>10320</v>
      </c>
      <c r="B825" s="88">
        <v>1915</v>
      </c>
      <c r="C825" s="87">
        <v>7794450092014</v>
      </c>
      <c r="D825" s="88" t="s">
        <v>904</v>
      </c>
      <c r="E825" s="89">
        <v>6375.0060000000003</v>
      </c>
      <c r="F825" s="89">
        <v>5737.5054</v>
      </c>
      <c r="G825" s="60">
        <v>637.5006000000003</v>
      </c>
      <c r="H825" s="91">
        <v>0.1</v>
      </c>
      <c r="I825" s="86" t="s">
        <v>18</v>
      </c>
      <c r="J825" s="86" t="s">
        <v>23</v>
      </c>
      <c r="K825" s="137">
        <v>46178</v>
      </c>
      <c r="L825" s="137">
        <v>46234</v>
      </c>
      <c r="M825" s="68" t="s">
        <v>736</v>
      </c>
    </row>
    <row r="826" spans="1:13">
      <c r="A826" s="87">
        <v>660735</v>
      </c>
      <c r="B826" s="88">
        <v>1927</v>
      </c>
      <c r="C826" s="87">
        <v>7794450004635</v>
      </c>
      <c r="D826" s="88" t="s">
        <v>905</v>
      </c>
      <c r="E826" s="89">
        <v>6375.0060000000003</v>
      </c>
      <c r="F826" s="89">
        <v>5737.5054</v>
      </c>
      <c r="G826" s="60">
        <v>637.5006000000003</v>
      </c>
      <c r="H826" s="91">
        <v>0.1</v>
      </c>
      <c r="I826" s="86" t="s">
        <v>18</v>
      </c>
      <c r="J826" s="86" t="s">
        <v>23</v>
      </c>
      <c r="K826" s="137">
        <v>46178</v>
      </c>
      <c r="L826" s="137">
        <v>46234</v>
      </c>
      <c r="M826" s="68" t="s">
        <v>736</v>
      </c>
    </row>
    <row r="827" spans="1:13">
      <c r="A827" s="87">
        <v>660736</v>
      </c>
      <c r="B827" s="88">
        <v>1924</v>
      </c>
      <c r="C827" s="87">
        <v>7794450004024</v>
      </c>
      <c r="D827" s="88" t="s">
        <v>906</v>
      </c>
      <c r="E827" s="89">
        <v>6375.0060000000003</v>
      </c>
      <c r="F827" s="89">
        <v>5737.5054</v>
      </c>
      <c r="G827" s="60">
        <v>637.5006000000003</v>
      </c>
      <c r="H827" s="91">
        <v>0.1</v>
      </c>
      <c r="I827" s="86" t="s">
        <v>18</v>
      </c>
      <c r="J827" s="86" t="s">
        <v>23</v>
      </c>
      <c r="K827" s="137">
        <v>46178</v>
      </c>
      <c r="L827" s="137">
        <v>46234</v>
      </c>
      <c r="M827" s="68" t="s">
        <v>736</v>
      </c>
    </row>
    <row r="828" spans="1:13">
      <c r="A828" s="87">
        <v>662734</v>
      </c>
      <c r="B828" s="88">
        <v>1422</v>
      </c>
      <c r="C828" s="87">
        <v>7798123971422</v>
      </c>
      <c r="D828" s="88" t="s">
        <v>1202</v>
      </c>
      <c r="E828" s="89">
        <v>16141.701999999999</v>
      </c>
      <c r="F828" s="89">
        <v>12913.3616</v>
      </c>
      <c r="G828" s="60">
        <v>3228.3403999999991</v>
      </c>
      <c r="H828" s="91">
        <v>0.2</v>
      </c>
      <c r="I828" s="86" t="s">
        <v>18</v>
      </c>
      <c r="J828" s="86" t="s">
        <v>75</v>
      </c>
      <c r="K828" s="137">
        <v>46178</v>
      </c>
      <c r="L828" s="137">
        <v>46234</v>
      </c>
      <c r="M828" s="68" t="s">
        <v>736</v>
      </c>
    </row>
    <row r="829" spans="1:13">
      <c r="A829" s="87">
        <v>664832</v>
      </c>
      <c r="B829" s="88">
        <v>24657910</v>
      </c>
      <c r="C829" s="87">
        <v>7798000212655</v>
      </c>
      <c r="D829" s="88" t="s">
        <v>907</v>
      </c>
      <c r="E829" s="89">
        <v>11887.96</v>
      </c>
      <c r="F829" s="89">
        <v>10699.163999999999</v>
      </c>
      <c r="G829" s="60">
        <v>1188.7960000000003</v>
      </c>
      <c r="H829" s="91">
        <v>0.1</v>
      </c>
      <c r="I829" s="86" t="s">
        <v>18</v>
      </c>
      <c r="J829" s="86" t="s">
        <v>23</v>
      </c>
      <c r="K829" s="137">
        <v>46178</v>
      </c>
      <c r="L829" s="137">
        <v>46234</v>
      </c>
      <c r="M829" s="68" t="s">
        <v>736</v>
      </c>
    </row>
    <row r="830" spans="1:13">
      <c r="A830" s="95">
        <v>660476</v>
      </c>
      <c r="B830" s="96">
        <v>0</v>
      </c>
      <c r="C830" s="95">
        <v>7796138000014</v>
      </c>
      <c r="D830" s="96" t="s">
        <v>1269</v>
      </c>
      <c r="E830" s="89">
        <v>19374.939999999999</v>
      </c>
      <c r="F830" s="97">
        <v>14531.204999999998</v>
      </c>
      <c r="G830" s="139">
        <v>4843.7350000000006</v>
      </c>
      <c r="H830" s="99">
        <v>0.25</v>
      </c>
      <c r="I830" s="94" t="s">
        <v>18</v>
      </c>
      <c r="J830" s="94" t="s">
        <v>24</v>
      </c>
      <c r="K830" s="140">
        <v>46178</v>
      </c>
      <c r="L830" s="140">
        <v>46234</v>
      </c>
      <c r="M830" s="68" t="s">
        <v>736</v>
      </c>
    </row>
    <row r="831" spans="1:13">
      <c r="A831" s="95">
        <v>660900</v>
      </c>
      <c r="B831" s="96">
        <v>100172861</v>
      </c>
      <c r="C831" s="95">
        <v>7791728006865</v>
      </c>
      <c r="D831" s="96" t="s">
        <v>1012</v>
      </c>
      <c r="E831" s="89">
        <v>11700</v>
      </c>
      <c r="F831" s="97">
        <v>9945</v>
      </c>
      <c r="G831" s="139">
        <v>1755</v>
      </c>
      <c r="H831" s="99">
        <v>0.15</v>
      </c>
      <c r="I831" s="94" t="s">
        <v>18</v>
      </c>
      <c r="J831" s="94" t="s">
        <v>70</v>
      </c>
      <c r="K831" s="140">
        <v>46178</v>
      </c>
      <c r="L831" s="140">
        <v>46234</v>
      </c>
      <c r="M831" s="68" t="s">
        <v>736</v>
      </c>
    </row>
    <row r="832" spans="1:13">
      <c r="A832" s="87">
        <v>15070</v>
      </c>
      <c r="B832" s="88">
        <v>100187443</v>
      </c>
      <c r="C832" s="87">
        <v>7791728018882</v>
      </c>
      <c r="D832" s="88" t="s">
        <v>908</v>
      </c>
      <c r="E832" s="89">
        <v>22619.99</v>
      </c>
      <c r="F832" s="89">
        <v>20357.991000000002</v>
      </c>
      <c r="G832" s="60">
        <v>2261.9989999999998</v>
      </c>
      <c r="H832" s="91">
        <v>0.1</v>
      </c>
      <c r="I832" s="86" t="s">
        <v>18</v>
      </c>
      <c r="J832" s="86" t="s">
        <v>23</v>
      </c>
      <c r="K832" s="137">
        <v>46178</v>
      </c>
      <c r="L832" s="137">
        <v>46234</v>
      </c>
      <c r="M832" s="68" t="s">
        <v>736</v>
      </c>
    </row>
    <row r="833" spans="1:13">
      <c r="A833" s="87">
        <v>15065</v>
      </c>
      <c r="B833" s="88">
        <v>100187853</v>
      </c>
      <c r="C833" s="87">
        <v>7791728001082</v>
      </c>
      <c r="D833" s="88" t="s">
        <v>909</v>
      </c>
      <c r="E833" s="89">
        <v>22619.99</v>
      </c>
      <c r="F833" s="89">
        <v>20357.991000000002</v>
      </c>
      <c r="G833" s="60">
        <v>2261.9989999999998</v>
      </c>
      <c r="H833" s="91">
        <v>0.1</v>
      </c>
      <c r="I833" s="86" t="s">
        <v>18</v>
      </c>
      <c r="J833" s="86" t="s">
        <v>23</v>
      </c>
      <c r="K833" s="137">
        <v>46178</v>
      </c>
      <c r="L833" s="137">
        <v>46234</v>
      </c>
      <c r="M833" s="68" t="s">
        <v>736</v>
      </c>
    </row>
    <row r="834" spans="1:13">
      <c r="A834" s="87">
        <v>14920</v>
      </c>
      <c r="B834" s="88">
        <v>100198776</v>
      </c>
      <c r="C834" s="87">
        <v>7791728000962</v>
      </c>
      <c r="D834" s="88" t="s">
        <v>910</v>
      </c>
      <c r="E834" s="89">
        <v>22619.99</v>
      </c>
      <c r="F834" s="89">
        <v>20357.991000000002</v>
      </c>
      <c r="G834" s="60">
        <v>2261.9989999999998</v>
      </c>
      <c r="H834" s="91">
        <v>0.1</v>
      </c>
      <c r="I834" s="86" t="s">
        <v>18</v>
      </c>
      <c r="J834" s="86" t="s">
        <v>23</v>
      </c>
      <c r="K834" s="137">
        <v>46178</v>
      </c>
      <c r="L834" s="137">
        <v>46234</v>
      </c>
      <c r="M834" s="68" t="s">
        <v>736</v>
      </c>
    </row>
    <row r="835" spans="1:13">
      <c r="A835" s="87">
        <v>666569</v>
      </c>
      <c r="B835" s="88">
        <v>100117551</v>
      </c>
      <c r="C835" s="87">
        <v>7791728004298</v>
      </c>
      <c r="D835" s="88" t="s">
        <v>911</v>
      </c>
      <c r="E835" s="89">
        <v>14790</v>
      </c>
      <c r="F835" s="89">
        <v>13311</v>
      </c>
      <c r="G835" s="60">
        <v>1479</v>
      </c>
      <c r="H835" s="91">
        <v>0.1</v>
      </c>
      <c r="I835" s="86" t="s">
        <v>18</v>
      </c>
      <c r="J835" s="86" t="s">
        <v>23</v>
      </c>
      <c r="K835" s="137">
        <v>46178</v>
      </c>
      <c r="L835" s="137">
        <v>46234</v>
      </c>
      <c r="M835" s="68" t="s">
        <v>736</v>
      </c>
    </row>
    <row r="836" spans="1:13">
      <c r="A836" s="87">
        <v>663169</v>
      </c>
      <c r="B836" s="88">
        <v>100105521</v>
      </c>
      <c r="C836" s="87">
        <v>7791728020755</v>
      </c>
      <c r="D836" s="88" t="s">
        <v>912</v>
      </c>
      <c r="E836" s="89">
        <v>21170.01</v>
      </c>
      <c r="F836" s="89">
        <v>19053.008999999998</v>
      </c>
      <c r="G836" s="60">
        <v>2117.0010000000002</v>
      </c>
      <c r="H836" s="91">
        <v>0.1</v>
      </c>
      <c r="I836" s="86" t="s">
        <v>18</v>
      </c>
      <c r="J836" s="86" t="s">
        <v>23</v>
      </c>
      <c r="K836" s="137">
        <v>46178</v>
      </c>
      <c r="L836" s="137">
        <v>46234</v>
      </c>
      <c r="M836" s="68" t="s">
        <v>736</v>
      </c>
    </row>
    <row r="837" spans="1:13">
      <c r="A837" s="95">
        <v>663168</v>
      </c>
      <c r="B837" s="96">
        <v>100105535</v>
      </c>
      <c r="C837" s="95">
        <v>7791728020748</v>
      </c>
      <c r="D837" s="96" t="s">
        <v>913</v>
      </c>
      <c r="E837" s="89">
        <v>21170.01</v>
      </c>
      <c r="F837" s="97">
        <v>19053.008999999998</v>
      </c>
      <c r="G837" s="139">
        <v>2117.0010000000002</v>
      </c>
      <c r="H837" s="99">
        <v>0.1</v>
      </c>
      <c r="I837" s="94" t="s">
        <v>18</v>
      </c>
      <c r="J837" s="94" t="s">
        <v>23</v>
      </c>
      <c r="K837" s="140">
        <v>46178</v>
      </c>
      <c r="L837" s="140">
        <v>46234</v>
      </c>
      <c r="M837" s="68" t="s">
        <v>736</v>
      </c>
    </row>
    <row r="838" spans="1:13">
      <c r="A838" s="87">
        <v>661168</v>
      </c>
      <c r="B838" s="88">
        <v>0</v>
      </c>
      <c r="C838" s="87">
        <v>7798353190624</v>
      </c>
      <c r="D838" s="88" t="s">
        <v>1203</v>
      </c>
      <c r="E838" s="89">
        <v>1800.008</v>
      </c>
      <c r="F838" s="89">
        <v>1440.0064000000002</v>
      </c>
      <c r="G838" s="60">
        <v>360.00159999999983</v>
      </c>
      <c r="H838" s="91">
        <v>0.2</v>
      </c>
      <c r="I838" s="86" t="s">
        <v>18</v>
      </c>
      <c r="J838" s="86" t="s">
        <v>75</v>
      </c>
      <c r="K838" s="137">
        <v>46178</v>
      </c>
      <c r="L838" s="137">
        <v>46234</v>
      </c>
      <c r="M838" s="68" t="s">
        <v>736</v>
      </c>
    </row>
    <row r="839" spans="1:13">
      <c r="A839" s="87">
        <v>661639</v>
      </c>
      <c r="B839" s="88">
        <v>100169404</v>
      </c>
      <c r="C839" s="87">
        <v>7791728239331</v>
      </c>
      <c r="D839" s="88" t="s">
        <v>1204</v>
      </c>
      <c r="E839" s="89">
        <v>3015.0050000000001</v>
      </c>
      <c r="F839" s="89">
        <v>2412.0040000000004</v>
      </c>
      <c r="G839" s="60">
        <v>603.00099999999975</v>
      </c>
      <c r="H839" s="91">
        <v>0.2</v>
      </c>
      <c r="I839" s="86" t="s">
        <v>18</v>
      </c>
      <c r="J839" s="86" t="s">
        <v>75</v>
      </c>
      <c r="K839" s="137">
        <v>46178</v>
      </c>
      <c r="L839" s="137">
        <v>46234</v>
      </c>
      <c r="M839" s="68" t="s">
        <v>736</v>
      </c>
    </row>
    <row r="840" spans="1:13">
      <c r="A840" s="87">
        <v>661641</v>
      </c>
      <c r="B840" s="88">
        <v>100179530</v>
      </c>
      <c r="C840" s="87">
        <v>7791728242577</v>
      </c>
      <c r="D840" s="88" t="s">
        <v>1205</v>
      </c>
      <c r="E840" s="89">
        <v>3015.0050000000001</v>
      </c>
      <c r="F840" s="89">
        <v>2412.0040000000004</v>
      </c>
      <c r="G840" s="60">
        <v>603.00099999999975</v>
      </c>
      <c r="H840" s="91">
        <v>0.2</v>
      </c>
      <c r="I840" s="86" t="s">
        <v>18</v>
      </c>
      <c r="J840" s="86" t="s">
        <v>75</v>
      </c>
      <c r="K840" s="137">
        <v>46178</v>
      </c>
      <c r="L840" s="137">
        <v>46234</v>
      </c>
      <c r="M840" s="68" t="s">
        <v>736</v>
      </c>
    </row>
    <row r="841" spans="1:13">
      <c r="A841" s="95">
        <v>661640</v>
      </c>
      <c r="B841" s="96">
        <v>100169402</v>
      </c>
      <c r="C841" s="95">
        <v>7791728239324</v>
      </c>
      <c r="D841" s="96" t="s">
        <v>1206</v>
      </c>
      <c r="E841" s="89">
        <v>3015.0050000000001</v>
      </c>
      <c r="F841" s="97">
        <v>2412.0040000000004</v>
      </c>
      <c r="G841" s="139">
        <v>603.00099999999975</v>
      </c>
      <c r="H841" s="99">
        <v>0.2</v>
      </c>
      <c r="I841" s="94" t="s">
        <v>18</v>
      </c>
      <c r="J841" s="94" t="s">
        <v>75</v>
      </c>
      <c r="K841" s="140">
        <v>46178</v>
      </c>
      <c r="L841" s="140">
        <v>46234</v>
      </c>
      <c r="M841" s="68" t="s">
        <v>736</v>
      </c>
    </row>
    <row r="842" spans="1:13">
      <c r="A842">
        <v>2482</v>
      </c>
      <c r="B842">
        <v>11004</v>
      </c>
      <c r="C842" s="64">
        <v>7790802000010</v>
      </c>
      <c r="D842" t="s">
        <v>324</v>
      </c>
      <c r="E842" s="47">
        <v>2123.75</v>
      </c>
      <c r="F842" s="47">
        <v>1699</v>
      </c>
      <c r="G842" s="54">
        <v>-424.75</v>
      </c>
      <c r="H842" s="62">
        <v>0.2</v>
      </c>
      <c r="I842" t="s">
        <v>113</v>
      </c>
      <c r="J842" t="s">
        <v>75</v>
      </c>
      <c r="K842" s="63">
        <v>46204</v>
      </c>
      <c r="L842" s="63">
        <v>46234</v>
      </c>
      <c r="M842" t="s">
        <v>140</v>
      </c>
    </row>
    <row r="843" spans="1:13">
      <c r="A843" s="7">
        <v>8239</v>
      </c>
      <c r="B843" s="7">
        <v>623</v>
      </c>
      <c r="C843" s="7">
        <v>7790895067532</v>
      </c>
      <c r="D843" s="7" t="s">
        <v>655</v>
      </c>
      <c r="E843" s="39">
        <v>1900.0709999999999</v>
      </c>
      <c r="F843" s="39">
        <v>1266.7139999999999</v>
      </c>
      <c r="G843" s="90">
        <v>-633.35699999999997</v>
      </c>
      <c r="H843" s="168">
        <v>0.33329999999999999</v>
      </c>
      <c r="I843" s="7" t="s">
        <v>656</v>
      </c>
      <c r="J843" s="7" t="s">
        <v>657</v>
      </c>
      <c r="K843" s="169">
        <v>46205</v>
      </c>
      <c r="L843" s="169">
        <v>46234</v>
      </c>
    </row>
    <row r="844" spans="1:13">
      <c r="A844" s="7">
        <v>1190</v>
      </c>
      <c r="B844" s="7">
        <v>120</v>
      </c>
      <c r="C844" s="7">
        <v>7790895000782</v>
      </c>
      <c r="D844" s="7" t="s">
        <v>658</v>
      </c>
      <c r="E844" s="39">
        <v>1900.0709999999999</v>
      </c>
      <c r="F844" s="39">
        <v>1266.7139999999999</v>
      </c>
      <c r="G844" s="90">
        <v>-633.35699999999997</v>
      </c>
      <c r="H844" s="168">
        <v>0.33329999999999999</v>
      </c>
      <c r="I844" s="7" t="s">
        <v>656</v>
      </c>
      <c r="J844" s="7" t="s">
        <v>657</v>
      </c>
      <c r="K844" s="169">
        <v>46205</v>
      </c>
      <c r="L844" s="169">
        <v>46234</v>
      </c>
    </row>
    <row r="845" spans="1:13">
      <c r="A845" s="7">
        <v>8426</v>
      </c>
      <c r="B845" s="7">
        <v>1110</v>
      </c>
      <c r="C845" s="7">
        <v>7790895000836</v>
      </c>
      <c r="D845" s="7" t="s">
        <v>659</v>
      </c>
      <c r="E845" s="39">
        <v>1600.06</v>
      </c>
      <c r="F845" s="39">
        <v>1066.7066666666667</v>
      </c>
      <c r="G845" s="90">
        <v>-533.35333333333324</v>
      </c>
      <c r="H845" s="168">
        <v>0.33329999999999999</v>
      </c>
      <c r="I845" s="7" t="s">
        <v>656</v>
      </c>
      <c r="J845" s="7" t="s">
        <v>657</v>
      </c>
      <c r="K845" s="169">
        <v>46205</v>
      </c>
      <c r="L845" s="169">
        <v>46234</v>
      </c>
    </row>
    <row r="846" spans="1:13">
      <c r="A846" s="7">
        <v>1217</v>
      </c>
      <c r="B846" s="7">
        <v>2408</v>
      </c>
      <c r="C846" s="7">
        <v>7790895000829</v>
      </c>
      <c r="D846" s="7" t="s">
        <v>660</v>
      </c>
      <c r="E846" s="39">
        <v>1650.047</v>
      </c>
      <c r="F846" s="39">
        <v>1100.0313333333334</v>
      </c>
      <c r="G846" s="90">
        <v>-550.01566666666668</v>
      </c>
      <c r="H846" s="168">
        <v>0.33329999999999999</v>
      </c>
      <c r="I846" s="7" t="s">
        <v>656</v>
      </c>
      <c r="J846" s="7" t="s">
        <v>657</v>
      </c>
      <c r="K846" s="169">
        <v>46205</v>
      </c>
      <c r="L846" s="169">
        <v>46234</v>
      </c>
    </row>
    <row r="847" spans="1:13">
      <c r="A847" s="7">
        <v>1192</v>
      </c>
      <c r="B847" s="7">
        <v>326</v>
      </c>
      <c r="C847" s="7">
        <v>7790895000430</v>
      </c>
      <c r="D847" s="7" t="s">
        <v>661</v>
      </c>
      <c r="E847" s="39">
        <v>3800.1410000000001</v>
      </c>
      <c r="F847" s="39">
        <v>3230.11985</v>
      </c>
      <c r="G847" s="90">
        <v>-570.02115000000003</v>
      </c>
      <c r="H847" s="170">
        <v>0.15</v>
      </c>
      <c r="I847" s="7" t="s">
        <v>18</v>
      </c>
      <c r="J847" s="7" t="s">
        <v>70</v>
      </c>
      <c r="K847" s="169">
        <v>46205</v>
      </c>
      <c r="L847" s="169">
        <v>46234</v>
      </c>
    </row>
    <row r="848" spans="1:13">
      <c r="A848" s="7">
        <v>1203</v>
      </c>
      <c r="B848" s="7">
        <v>1190</v>
      </c>
      <c r="C848" s="7">
        <v>7790895000454</v>
      </c>
      <c r="D848" s="7" t="s">
        <v>662</v>
      </c>
      <c r="E848" s="39">
        <v>3800.1410000000001</v>
      </c>
      <c r="F848" s="39">
        <v>2850.1057500000002</v>
      </c>
      <c r="G848" s="90">
        <v>-950.03524999999991</v>
      </c>
      <c r="H848" s="170">
        <v>0.25</v>
      </c>
      <c r="I848" s="7" t="s">
        <v>18</v>
      </c>
      <c r="J848" s="7" t="s">
        <v>24</v>
      </c>
      <c r="K848" s="169">
        <v>46205</v>
      </c>
      <c r="L848" s="169">
        <v>46234</v>
      </c>
    </row>
    <row r="849" spans="1:12">
      <c r="A849" s="7">
        <v>1803</v>
      </c>
      <c r="B849" s="7">
        <v>1650</v>
      </c>
      <c r="C849" s="7">
        <v>7790895002304</v>
      </c>
      <c r="D849" s="7" t="s">
        <v>663</v>
      </c>
      <c r="E849" s="39">
        <v>3800.1410000000001</v>
      </c>
      <c r="F849" s="39">
        <v>2850.1057500000002</v>
      </c>
      <c r="G849" s="90">
        <v>-950.03524999999991</v>
      </c>
      <c r="H849" s="170">
        <v>0.25</v>
      </c>
      <c r="I849" s="7" t="s">
        <v>18</v>
      </c>
      <c r="J849" s="7" t="s">
        <v>24</v>
      </c>
      <c r="K849" s="169">
        <v>46205</v>
      </c>
      <c r="L849" s="169">
        <v>46234</v>
      </c>
    </row>
    <row r="850" spans="1:12">
      <c r="A850" s="7">
        <v>666793</v>
      </c>
      <c r="B850" s="7">
        <v>3021</v>
      </c>
      <c r="C850" s="7">
        <v>7790895010088</v>
      </c>
      <c r="D850" s="7" t="s">
        <v>664</v>
      </c>
      <c r="E850" s="39">
        <v>3500.9279999999999</v>
      </c>
      <c r="F850" s="39">
        <v>2625.6959999999999</v>
      </c>
      <c r="G850" s="90">
        <v>-875.23199999999997</v>
      </c>
      <c r="H850" s="170">
        <v>0.25</v>
      </c>
      <c r="I850" s="7" t="s">
        <v>18</v>
      </c>
      <c r="J850" s="7" t="s">
        <v>24</v>
      </c>
      <c r="K850" s="169">
        <v>46205</v>
      </c>
      <c r="L850" s="169">
        <v>46234</v>
      </c>
    </row>
    <row r="851" spans="1:12">
      <c r="A851" s="7">
        <v>5747</v>
      </c>
      <c r="B851" s="7">
        <v>3151</v>
      </c>
      <c r="C851" s="7">
        <v>7790895006715</v>
      </c>
      <c r="D851" s="7" t="s">
        <v>665</v>
      </c>
      <c r="E851" s="39">
        <v>3503.09</v>
      </c>
      <c r="F851" s="39">
        <v>2627.3175000000001</v>
      </c>
      <c r="G851" s="90">
        <v>-875.77250000000004</v>
      </c>
      <c r="H851" s="170">
        <v>0.25</v>
      </c>
      <c r="I851" s="7" t="s">
        <v>18</v>
      </c>
      <c r="J851" s="7" t="s">
        <v>24</v>
      </c>
      <c r="K851" s="169">
        <v>46205</v>
      </c>
      <c r="L851" s="169">
        <v>46234</v>
      </c>
    </row>
    <row r="852" spans="1:12">
      <c r="A852" s="7">
        <v>1213</v>
      </c>
      <c r="B852" s="7">
        <v>2421</v>
      </c>
      <c r="C852" s="7">
        <v>7790895000447</v>
      </c>
      <c r="D852" s="7" t="s">
        <v>666</v>
      </c>
      <c r="E852" s="39">
        <v>3800.1039999999998</v>
      </c>
      <c r="F852" s="39">
        <v>2850.078</v>
      </c>
      <c r="G852" s="90">
        <v>-950.02599999999984</v>
      </c>
      <c r="H852" s="170">
        <v>0.25</v>
      </c>
      <c r="I852" s="7" t="s">
        <v>18</v>
      </c>
      <c r="J852" s="7" t="s">
        <v>24</v>
      </c>
      <c r="K852" s="169">
        <v>46205</v>
      </c>
      <c r="L852" s="169">
        <v>46234</v>
      </c>
    </row>
    <row r="853" spans="1:12">
      <c r="A853" s="7">
        <v>1222</v>
      </c>
      <c r="B853" s="7">
        <v>2491</v>
      </c>
      <c r="C853" s="7">
        <v>7790895064173</v>
      </c>
      <c r="D853" s="7" t="s">
        <v>667</v>
      </c>
      <c r="E853" s="39">
        <v>3800.1039999999998</v>
      </c>
      <c r="F853" s="39">
        <v>2850.078</v>
      </c>
      <c r="G853" s="90">
        <v>-950.02599999999984</v>
      </c>
      <c r="H853" s="170">
        <v>0.25</v>
      </c>
      <c r="I853" s="7" t="s">
        <v>18</v>
      </c>
      <c r="J853" s="7" t="s">
        <v>24</v>
      </c>
      <c r="K853" s="169">
        <v>46205</v>
      </c>
      <c r="L853" s="169">
        <v>46234</v>
      </c>
    </row>
    <row r="854" spans="1:12">
      <c r="A854" s="7">
        <v>7501</v>
      </c>
      <c r="B854" s="7">
        <v>652</v>
      </c>
      <c r="C854" s="7">
        <v>7790895067556</v>
      </c>
      <c r="D854" s="7" t="s">
        <v>668</v>
      </c>
      <c r="E854" s="39">
        <v>3800.1410000000001</v>
      </c>
      <c r="F854" s="39">
        <v>2850.1057500000002</v>
      </c>
      <c r="G854" s="90">
        <v>-950.03524999999991</v>
      </c>
      <c r="H854" s="170">
        <v>0.25</v>
      </c>
      <c r="I854" s="7" t="s">
        <v>18</v>
      </c>
      <c r="J854" s="7" t="s">
        <v>24</v>
      </c>
      <c r="K854" s="169">
        <v>46205</v>
      </c>
      <c r="L854" s="169">
        <v>46234</v>
      </c>
    </row>
    <row r="855" spans="1:12">
      <c r="A855" s="7">
        <v>5269</v>
      </c>
      <c r="B855" s="7">
        <v>2683</v>
      </c>
      <c r="C855" s="7">
        <v>7790895647789</v>
      </c>
      <c r="D855" s="7" t="s">
        <v>669</v>
      </c>
      <c r="E855" s="39">
        <v>5652.3180000000002</v>
      </c>
      <c r="F855" s="39">
        <v>3956.6225999999997</v>
      </c>
      <c r="G855" s="90">
        <v>-1695.6954000000005</v>
      </c>
      <c r="H855" s="170">
        <v>0.3</v>
      </c>
      <c r="I855" s="7" t="s">
        <v>18</v>
      </c>
      <c r="J855" s="7" t="s">
        <v>94</v>
      </c>
      <c r="K855" s="169">
        <v>46205</v>
      </c>
      <c r="L855" s="169">
        <v>46234</v>
      </c>
    </row>
    <row r="856" spans="1:12">
      <c r="A856" s="7">
        <v>1225</v>
      </c>
      <c r="B856" s="7">
        <v>2782</v>
      </c>
      <c r="C856" s="7">
        <v>7790895647796</v>
      </c>
      <c r="D856" s="7" t="s">
        <v>670</v>
      </c>
      <c r="E856" s="39">
        <v>2200.0039999999999</v>
      </c>
      <c r="F856" s="39">
        <v>1499</v>
      </c>
      <c r="G856" s="90">
        <v>-701.00399999999991</v>
      </c>
      <c r="H856" s="168">
        <v>0.31859999999999999</v>
      </c>
      <c r="I856" s="7" t="s">
        <v>18</v>
      </c>
      <c r="J856" s="7" t="s">
        <v>671</v>
      </c>
      <c r="K856" s="169">
        <v>46205</v>
      </c>
      <c r="L856" s="169">
        <v>46234</v>
      </c>
    </row>
    <row r="857" spans="1:12">
      <c r="A857" s="7">
        <v>10514</v>
      </c>
      <c r="B857" s="7">
        <v>2681</v>
      </c>
      <c r="C857" s="7">
        <v>7790895647741</v>
      </c>
      <c r="D857" s="7" t="s">
        <v>672</v>
      </c>
      <c r="E857" s="39">
        <v>1602.684</v>
      </c>
      <c r="F857" s="39">
        <v>1041.7446</v>
      </c>
      <c r="G857" s="90">
        <v>-560.93939999999998</v>
      </c>
      <c r="H857" s="170">
        <v>0.35</v>
      </c>
      <c r="I857" s="7" t="s">
        <v>15</v>
      </c>
      <c r="J857" s="7" t="s">
        <v>16</v>
      </c>
      <c r="K857" s="169">
        <v>46205</v>
      </c>
      <c r="L857" s="169">
        <v>46234</v>
      </c>
    </row>
    <row r="858" spans="1:12">
      <c r="A858" s="7">
        <v>658184</v>
      </c>
      <c r="B858" s="7">
        <v>2781</v>
      </c>
      <c r="C858" s="7">
        <v>7790895647758</v>
      </c>
      <c r="D858" s="7" t="s">
        <v>673</v>
      </c>
      <c r="E858" s="39">
        <v>1602.8230000000001</v>
      </c>
      <c r="F858" s="39">
        <v>1041.8349500000002</v>
      </c>
      <c r="G858" s="90">
        <v>-560.98804999999993</v>
      </c>
      <c r="H858" s="170">
        <v>0.35</v>
      </c>
      <c r="I858" s="7" t="s">
        <v>15</v>
      </c>
      <c r="J858" s="7" t="s">
        <v>16</v>
      </c>
      <c r="K858" s="169">
        <v>46205</v>
      </c>
      <c r="L858" s="169">
        <v>46234</v>
      </c>
    </row>
    <row r="859" spans="1:12">
      <c r="A859" s="7">
        <v>4063</v>
      </c>
      <c r="B859" s="7">
        <v>4209</v>
      </c>
      <c r="C859" s="7">
        <v>7790895641213</v>
      </c>
      <c r="D859" s="7" t="s">
        <v>674</v>
      </c>
      <c r="E859" s="39">
        <v>1700.04</v>
      </c>
      <c r="F859" s="39">
        <v>1105.0260000000001</v>
      </c>
      <c r="G859" s="90">
        <v>-595.0139999999999</v>
      </c>
      <c r="H859" s="170">
        <v>0.35</v>
      </c>
      <c r="I859" s="7" t="s">
        <v>15</v>
      </c>
      <c r="J859" s="7" t="s">
        <v>16</v>
      </c>
      <c r="K859" s="169">
        <v>46205</v>
      </c>
      <c r="L859" s="169">
        <v>46234</v>
      </c>
    </row>
    <row r="860" spans="1:12">
      <c r="A860" s="7">
        <v>804006</v>
      </c>
      <c r="B860" s="7">
        <v>4213</v>
      </c>
      <c r="C860" s="7">
        <v>7790895004032</v>
      </c>
      <c r="D860" s="7" t="s">
        <v>675</v>
      </c>
      <c r="E860" s="39">
        <v>1700.04</v>
      </c>
      <c r="F860" s="39">
        <v>1105.0260000000001</v>
      </c>
      <c r="G860" s="90">
        <v>-595.0139999999999</v>
      </c>
      <c r="H860" s="170">
        <v>0.35</v>
      </c>
      <c r="I860" s="7" t="s">
        <v>15</v>
      </c>
      <c r="J860" s="7" t="s">
        <v>16</v>
      </c>
      <c r="K860" s="169">
        <v>46205</v>
      </c>
      <c r="L860" s="169">
        <v>46234</v>
      </c>
    </row>
    <row r="861" spans="1:12">
      <c r="A861" s="7">
        <v>12614</v>
      </c>
      <c r="B861" s="7">
        <v>4215</v>
      </c>
      <c r="C861" s="7">
        <v>7790895640445</v>
      </c>
      <c r="D861" s="7" t="s">
        <v>676</v>
      </c>
      <c r="E861" s="39">
        <v>1700.04</v>
      </c>
      <c r="F861" s="39">
        <v>1105.0260000000001</v>
      </c>
      <c r="G861" s="90">
        <v>-595.0139999999999</v>
      </c>
      <c r="H861" s="170">
        <v>0.35</v>
      </c>
      <c r="I861" s="7" t="s">
        <v>15</v>
      </c>
      <c r="J861" s="7" t="s">
        <v>16</v>
      </c>
      <c r="K861" s="169">
        <v>46205</v>
      </c>
      <c r="L861" s="169">
        <v>46234</v>
      </c>
    </row>
    <row r="862" spans="1:12">
      <c r="A862" s="7">
        <v>12615</v>
      </c>
      <c r="B862" s="7">
        <v>4211</v>
      </c>
      <c r="C862" s="7">
        <v>7790895640452</v>
      </c>
      <c r="D862" s="7" t="s">
        <v>677</v>
      </c>
      <c r="E862" s="39">
        <v>1700.04</v>
      </c>
      <c r="F862" s="39">
        <v>1105.0260000000001</v>
      </c>
      <c r="G862" s="90">
        <v>-595.0139999999999</v>
      </c>
      <c r="H862" s="170">
        <v>0.35</v>
      </c>
      <c r="I862" s="7" t="s">
        <v>15</v>
      </c>
      <c r="J862" s="7" t="s">
        <v>16</v>
      </c>
      <c r="K862" s="169">
        <v>46205</v>
      </c>
      <c r="L862" s="169">
        <v>46234</v>
      </c>
    </row>
    <row r="863" spans="1:12">
      <c r="A863" s="7">
        <v>12616</v>
      </c>
      <c r="B863" s="7">
        <v>4207</v>
      </c>
      <c r="C863" s="7">
        <v>7790895640469</v>
      </c>
      <c r="D863" s="7" t="s">
        <v>678</v>
      </c>
      <c r="E863" s="39">
        <v>1700.04</v>
      </c>
      <c r="F863" s="39">
        <v>1105.0260000000001</v>
      </c>
      <c r="G863" s="90">
        <v>-595.0139999999999</v>
      </c>
      <c r="H863" s="170">
        <v>0.35</v>
      </c>
      <c r="I863" s="7" t="s">
        <v>15</v>
      </c>
      <c r="J863" s="7" t="s">
        <v>16</v>
      </c>
      <c r="K863" s="169">
        <v>46205</v>
      </c>
      <c r="L863" s="169">
        <v>46234</v>
      </c>
    </row>
    <row r="864" spans="1:12">
      <c r="A864" s="7">
        <v>5272</v>
      </c>
      <c r="B864" s="7">
        <v>3842</v>
      </c>
      <c r="C864" s="7">
        <v>7790895641541</v>
      </c>
      <c r="D864" s="7" t="s">
        <v>679</v>
      </c>
      <c r="E864" s="39">
        <v>1400.0429999999999</v>
      </c>
      <c r="F864" s="39">
        <v>910.02794999999992</v>
      </c>
      <c r="G864" s="90">
        <v>-490.01504999999997</v>
      </c>
      <c r="H864" s="170">
        <v>0.35</v>
      </c>
      <c r="I864" s="7" t="s">
        <v>15</v>
      </c>
      <c r="J864" s="7" t="s">
        <v>16</v>
      </c>
      <c r="K864" s="169">
        <v>46205</v>
      </c>
      <c r="L864" s="169">
        <v>46234</v>
      </c>
    </row>
    <row r="865" spans="1:12">
      <c r="A865" s="7">
        <v>5289</v>
      </c>
      <c r="B865" s="7">
        <v>3840</v>
      </c>
      <c r="C865" s="7">
        <v>7790895641794</v>
      </c>
      <c r="D865" s="7" t="s">
        <v>680</v>
      </c>
      <c r="E865" s="39">
        <v>1400.0429999999999</v>
      </c>
      <c r="F865" s="39">
        <v>910.02794999999992</v>
      </c>
      <c r="G865" s="90">
        <v>-490.01504999999997</v>
      </c>
      <c r="H865" s="170">
        <v>0.35</v>
      </c>
      <c r="I865" s="7" t="s">
        <v>15</v>
      </c>
      <c r="J865" s="7" t="s">
        <v>16</v>
      </c>
      <c r="K865" s="169">
        <v>46205</v>
      </c>
      <c r="L865" s="169">
        <v>46234</v>
      </c>
    </row>
    <row r="866" spans="1:12">
      <c r="A866" s="7">
        <v>665055</v>
      </c>
      <c r="B866" s="7">
        <v>3844</v>
      </c>
      <c r="C866" s="7">
        <v>7790895649271</v>
      </c>
      <c r="D866" s="7" t="s">
        <v>681</v>
      </c>
      <c r="E866" s="39">
        <v>1400.0429999999999</v>
      </c>
      <c r="F866" s="39">
        <v>910.02794999999992</v>
      </c>
      <c r="G866" s="90">
        <v>-490.01504999999997</v>
      </c>
      <c r="H866" s="170">
        <v>0.35</v>
      </c>
      <c r="I866" s="7" t="s">
        <v>15</v>
      </c>
      <c r="J866" s="7" t="s">
        <v>16</v>
      </c>
      <c r="K866" s="169">
        <v>46205</v>
      </c>
      <c r="L866" s="169">
        <v>46234</v>
      </c>
    </row>
    <row r="867" spans="1:12">
      <c r="A867" s="7">
        <v>665056</v>
      </c>
      <c r="B867" s="7">
        <v>3851</v>
      </c>
      <c r="C867" s="7">
        <v>7790895649257</v>
      </c>
      <c r="D867" s="7" t="s">
        <v>682</v>
      </c>
      <c r="E867" s="39">
        <v>1400.0429999999999</v>
      </c>
      <c r="F867" s="39">
        <v>910.02794999999992</v>
      </c>
      <c r="G867" s="90">
        <v>-490.01504999999997</v>
      </c>
      <c r="H867" s="170">
        <v>0.35</v>
      </c>
      <c r="I867" s="7" t="s">
        <v>15</v>
      </c>
      <c r="J867" s="7" t="s">
        <v>16</v>
      </c>
      <c r="K867" s="169">
        <v>46205</v>
      </c>
      <c r="L867" s="169">
        <v>46234</v>
      </c>
    </row>
    <row r="868" spans="1:12">
      <c r="A868" s="7">
        <v>5519</v>
      </c>
      <c r="B868" s="7">
        <v>3924</v>
      </c>
      <c r="C868" s="7">
        <v>7790895646577</v>
      </c>
      <c r="D868" s="7" t="s">
        <v>683</v>
      </c>
      <c r="E868" s="39">
        <v>1149.924</v>
      </c>
      <c r="F868" s="39">
        <v>747.45060000000001</v>
      </c>
      <c r="G868" s="90">
        <v>-402.47339999999997</v>
      </c>
      <c r="H868" s="170">
        <v>0.35</v>
      </c>
      <c r="I868" s="7" t="s">
        <v>15</v>
      </c>
      <c r="J868" s="7" t="s">
        <v>16</v>
      </c>
      <c r="K868" s="169">
        <v>46205</v>
      </c>
      <c r="L868" s="169">
        <v>46234</v>
      </c>
    </row>
    <row r="869" spans="1:12">
      <c r="A869" s="7">
        <v>5563</v>
      </c>
      <c r="B869" s="7">
        <v>3920</v>
      </c>
      <c r="C869" s="7">
        <v>7790895647024</v>
      </c>
      <c r="D869" s="7" t="s">
        <v>684</v>
      </c>
      <c r="E869" s="39">
        <v>1149.924</v>
      </c>
      <c r="F869" s="39">
        <v>747.45060000000001</v>
      </c>
      <c r="G869" s="90">
        <v>-402.47339999999997</v>
      </c>
      <c r="H869" s="170">
        <v>0.35</v>
      </c>
      <c r="I869" s="7" t="s">
        <v>15</v>
      </c>
      <c r="J869" s="7" t="s">
        <v>16</v>
      </c>
      <c r="K869" s="169">
        <v>46205</v>
      </c>
      <c r="L869" s="169">
        <v>46234</v>
      </c>
    </row>
    <row r="870" spans="1:12">
      <c r="A870" s="7">
        <v>6454</v>
      </c>
      <c r="B870" s="7">
        <v>3923</v>
      </c>
      <c r="C870" s="7">
        <v>7790895647130</v>
      </c>
      <c r="D870" s="7" t="s">
        <v>685</v>
      </c>
      <c r="E870" s="39">
        <v>1149.924</v>
      </c>
      <c r="F870" s="39">
        <v>747.45060000000001</v>
      </c>
      <c r="G870" s="90">
        <v>-402.47339999999997</v>
      </c>
      <c r="H870" s="170">
        <v>0.35</v>
      </c>
      <c r="I870" s="7" t="s">
        <v>15</v>
      </c>
      <c r="J870" s="7" t="s">
        <v>16</v>
      </c>
      <c r="K870" s="169">
        <v>46205</v>
      </c>
      <c r="L870" s="169">
        <v>46234</v>
      </c>
    </row>
    <row r="871" spans="1:12">
      <c r="A871" s="7">
        <v>5265</v>
      </c>
      <c r="B871" s="7">
        <v>4059</v>
      </c>
      <c r="C871" s="7">
        <v>7790895641183</v>
      </c>
      <c r="D871" s="7" t="s">
        <v>686</v>
      </c>
      <c r="E871" s="39">
        <v>2499.9969999999998</v>
      </c>
      <c r="F871" s="39">
        <v>1624.9980499999999</v>
      </c>
      <c r="G871" s="90">
        <v>-874.99894999999992</v>
      </c>
      <c r="H871" s="170">
        <v>0.35</v>
      </c>
      <c r="I871" s="7" t="s">
        <v>18</v>
      </c>
      <c r="J871" s="7" t="s">
        <v>112</v>
      </c>
      <c r="K871" s="169">
        <v>46205</v>
      </c>
      <c r="L871" s="169">
        <v>46234</v>
      </c>
    </row>
    <row r="872" spans="1:12">
      <c r="A872" s="7">
        <v>1215</v>
      </c>
      <c r="B872" s="7">
        <v>4053</v>
      </c>
      <c r="C872" s="7">
        <v>7790895640018</v>
      </c>
      <c r="D872" s="7" t="s">
        <v>687</v>
      </c>
      <c r="E872" s="39">
        <v>2499.9969999999998</v>
      </c>
      <c r="F872" s="39">
        <v>1624.9980499999999</v>
      </c>
      <c r="G872" s="90">
        <v>-874.99894999999992</v>
      </c>
      <c r="H872" s="170">
        <v>0.35</v>
      </c>
      <c r="I872" s="7" t="s">
        <v>18</v>
      </c>
      <c r="J872" s="7" t="s">
        <v>112</v>
      </c>
      <c r="K872" s="169">
        <v>46205</v>
      </c>
      <c r="L872" s="169">
        <v>46234</v>
      </c>
    </row>
    <row r="873" spans="1:12">
      <c r="A873" s="7">
        <v>1494</v>
      </c>
      <c r="B873" s="7">
        <v>4055</v>
      </c>
      <c r="C873" s="7">
        <v>7790895640025</v>
      </c>
      <c r="D873" s="7" t="s">
        <v>688</v>
      </c>
      <c r="E873" s="39">
        <v>2499.9969999999998</v>
      </c>
      <c r="F873" s="39">
        <v>1624.9980499999999</v>
      </c>
      <c r="G873" s="90">
        <v>-874.99894999999992</v>
      </c>
      <c r="H873" s="170">
        <v>0.35</v>
      </c>
      <c r="I873" s="7" t="s">
        <v>18</v>
      </c>
      <c r="J873" s="7" t="s">
        <v>112</v>
      </c>
      <c r="K873" s="169">
        <v>46205</v>
      </c>
      <c r="L873" s="169">
        <v>46234</v>
      </c>
    </row>
    <row r="874" spans="1:12">
      <c r="A874" s="7">
        <v>663983</v>
      </c>
      <c r="B874" s="7">
        <v>4067</v>
      </c>
      <c r="C874" s="7">
        <v>7790895648687</v>
      </c>
      <c r="D874" s="7" t="s">
        <v>689</v>
      </c>
      <c r="E874" s="39">
        <v>2500.0920000000001</v>
      </c>
      <c r="F874" s="39">
        <v>1625.0598000000002</v>
      </c>
      <c r="G874" s="90">
        <v>-875.03219999999988</v>
      </c>
      <c r="H874" s="170">
        <v>0.35</v>
      </c>
      <c r="I874" s="7" t="s">
        <v>18</v>
      </c>
      <c r="J874" s="7" t="s">
        <v>112</v>
      </c>
      <c r="K874" s="169">
        <v>46205</v>
      </c>
      <c r="L874" s="169">
        <v>46234</v>
      </c>
    </row>
    <row r="875" spans="1:12">
      <c r="A875" s="7">
        <v>666580</v>
      </c>
      <c r="B875" s="7">
        <v>4070</v>
      </c>
      <c r="C875" s="7">
        <v>7790895651052</v>
      </c>
      <c r="D875" s="7" t="s">
        <v>690</v>
      </c>
      <c r="E875" s="39">
        <v>2500.0920000000001</v>
      </c>
      <c r="F875" s="39">
        <v>1625.0598000000002</v>
      </c>
      <c r="G875" s="90">
        <v>-875.03219999999988</v>
      </c>
      <c r="H875" s="170">
        <v>0.35</v>
      </c>
      <c r="I875" s="7" t="s">
        <v>18</v>
      </c>
      <c r="J875" s="7" t="s">
        <v>112</v>
      </c>
      <c r="K875" s="169">
        <v>46205</v>
      </c>
      <c r="L875" s="169">
        <v>46234</v>
      </c>
    </row>
    <row r="876" spans="1:12">
      <c r="A876" s="7">
        <v>9216</v>
      </c>
      <c r="B876" s="7">
        <v>655</v>
      </c>
      <c r="C876" s="7">
        <v>7790895067570</v>
      </c>
      <c r="D876" s="7" t="s">
        <v>691</v>
      </c>
      <c r="E876" s="39">
        <v>4800.1809999999996</v>
      </c>
      <c r="F876" s="39">
        <v>3600.1357499999995</v>
      </c>
      <c r="G876" s="90">
        <v>-1200.0452500000001</v>
      </c>
      <c r="H876" s="170">
        <v>0.25</v>
      </c>
      <c r="I876" s="7" t="s">
        <v>15</v>
      </c>
      <c r="J876" s="7" t="s">
        <v>19</v>
      </c>
      <c r="K876" s="169">
        <v>46205</v>
      </c>
      <c r="L876" s="169">
        <v>46208</v>
      </c>
    </row>
    <row r="877" spans="1:12">
      <c r="A877" s="7">
        <v>1187</v>
      </c>
      <c r="B877" s="7">
        <v>327</v>
      </c>
      <c r="C877" s="7">
        <v>7790895000997</v>
      </c>
      <c r="D877" s="7" t="s">
        <v>692</v>
      </c>
      <c r="E877" s="39">
        <v>4800.1809999999996</v>
      </c>
      <c r="F877" s="39">
        <v>3600.1357499999995</v>
      </c>
      <c r="G877" s="90">
        <v>-1200.0452500000001</v>
      </c>
      <c r="H877" s="170">
        <v>0.25</v>
      </c>
      <c r="I877" s="7" t="s">
        <v>15</v>
      </c>
      <c r="J877" s="7" t="s">
        <v>19</v>
      </c>
      <c r="K877" s="169">
        <v>46205</v>
      </c>
      <c r="L877" s="169">
        <v>46208</v>
      </c>
    </row>
    <row r="878" spans="1:12">
      <c r="A878" s="7">
        <v>1204</v>
      </c>
      <c r="B878" s="7">
        <v>1195</v>
      </c>
      <c r="C878" s="7">
        <v>7790895001017</v>
      </c>
      <c r="D878" s="7" t="s">
        <v>693</v>
      </c>
      <c r="E878" s="39">
        <v>4600.1790000000001</v>
      </c>
      <c r="F878" s="39">
        <v>3220.1252999999997</v>
      </c>
      <c r="G878" s="90">
        <v>-1380.0537000000004</v>
      </c>
      <c r="H878" s="170">
        <v>0.3</v>
      </c>
      <c r="I878" s="7" t="s">
        <v>18</v>
      </c>
      <c r="J878" s="7" t="s">
        <v>94</v>
      </c>
      <c r="K878" s="169">
        <v>46205</v>
      </c>
      <c r="L878" s="169">
        <v>46208</v>
      </c>
    </row>
    <row r="879" spans="1:12">
      <c r="A879" s="7">
        <v>1214</v>
      </c>
      <c r="B879" s="7">
        <v>2427</v>
      </c>
      <c r="C879" s="7">
        <v>7790895001000</v>
      </c>
      <c r="D879" s="7" t="s">
        <v>694</v>
      </c>
      <c r="E879" s="39">
        <v>4600.1239999999998</v>
      </c>
      <c r="F879" s="39">
        <v>3220.0867999999996</v>
      </c>
      <c r="G879" s="90">
        <v>-1380.0372000000002</v>
      </c>
      <c r="H879" s="170">
        <v>0.3</v>
      </c>
      <c r="I879" s="7" t="s">
        <v>18</v>
      </c>
      <c r="J879" s="7" t="s">
        <v>94</v>
      </c>
      <c r="K879" s="169">
        <v>46205</v>
      </c>
      <c r="L879" s="169">
        <v>46208</v>
      </c>
    </row>
    <row r="880" spans="1:12">
      <c r="A880" s="7">
        <v>662020</v>
      </c>
      <c r="B880" s="7">
        <v>3175</v>
      </c>
      <c r="C880" s="7">
        <v>7790895004667</v>
      </c>
      <c r="D880" s="7" t="s">
        <v>695</v>
      </c>
      <c r="E880" s="39">
        <v>3600.1390000000001</v>
      </c>
      <c r="F880" s="39">
        <v>2520.0972999999999</v>
      </c>
      <c r="G880" s="90">
        <v>-1080.0417000000002</v>
      </c>
      <c r="H880" s="170">
        <v>0.3</v>
      </c>
      <c r="I880" s="7" t="s">
        <v>18</v>
      </c>
      <c r="J880" s="7" t="s">
        <v>94</v>
      </c>
      <c r="K880" s="169">
        <v>46205</v>
      </c>
      <c r="L880" s="169">
        <v>46208</v>
      </c>
    </row>
    <row r="881" spans="1:12">
      <c r="A881" s="7">
        <v>662626</v>
      </c>
      <c r="B881" s="7">
        <v>2684</v>
      </c>
      <c r="C881" s="7">
        <v>7790895648564</v>
      </c>
      <c r="D881" s="7" t="s">
        <v>696</v>
      </c>
      <c r="E881" s="39">
        <v>2600.0740000000001</v>
      </c>
      <c r="F881" s="39">
        <v>1950.0554999999999</v>
      </c>
      <c r="G881" s="90">
        <v>-650.01850000000013</v>
      </c>
      <c r="H881" s="170">
        <v>0.25</v>
      </c>
      <c r="I881" s="7" t="s">
        <v>18</v>
      </c>
      <c r="J881" s="7" t="s">
        <v>24</v>
      </c>
      <c r="K881" s="169">
        <v>46205</v>
      </c>
      <c r="L881" s="169">
        <v>46208</v>
      </c>
    </row>
    <row r="882" spans="1:12">
      <c r="A882" s="7">
        <v>5291</v>
      </c>
      <c r="B882" s="7">
        <v>3845</v>
      </c>
      <c r="C882" s="7">
        <v>7790895641800</v>
      </c>
      <c r="D882" s="7" t="s">
        <v>697</v>
      </c>
      <c r="E882" s="39">
        <v>3500.0920000000001</v>
      </c>
      <c r="F882" s="39">
        <v>2625.069</v>
      </c>
      <c r="G882" s="90">
        <v>-875.02300000000014</v>
      </c>
      <c r="H882" s="170">
        <v>0.25</v>
      </c>
      <c r="I882" s="7" t="s">
        <v>18</v>
      </c>
      <c r="J882" s="7" t="s">
        <v>24</v>
      </c>
      <c r="K882" s="169">
        <v>46205</v>
      </c>
      <c r="L882" s="169">
        <v>46208</v>
      </c>
    </row>
    <row r="883" spans="1:12">
      <c r="A883" s="7">
        <v>5320</v>
      </c>
      <c r="B883" s="7">
        <v>3846</v>
      </c>
      <c r="C883" s="7">
        <v>7790895641749</v>
      </c>
      <c r="D883" s="7" t="s">
        <v>698</v>
      </c>
      <c r="E883" s="39">
        <v>3500.0920000000001</v>
      </c>
      <c r="F883" s="39">
        <v>2625.069</v>
      </c>
      <c r="G883" s="90">
        <v>-875.02300000000014</v>
      </c>
      <c r="H883" s="170">
        <v>0.25</v>
      </c>
      <c r="I883" s="7" t="s">
        <v>18</v>
      </c>
      <c r="J883" s="7" t="s">
        <v>24</v>
      </c>
      <c r="K883" s="169">
        <v>46205</v>
      </c>
      <c r="L883" s="169">
        <v>46208</v>
      </c>
    </row>
    <row r="884" spans="1:12">
      <c r="A884" s="7">
        <v>5342</v>
      </c>
      <c r="B884" s="7">
        <v>3847</v>
      </c>
      <c r="C884" s="7">
        <v>7790895641534</v>
      </c>
      <c r="D884" s="7" t="s">
        <v>699</v>
      </c>
      <c r="E884" s="39">
        <v>3500.0920000000001</v>
      </c>
      <c r="F884" s="39">
        <v>2625.069</v>
      </c>
      <c r="G884" s="90">
        <v>-875.02300000000014</v>
      </c>
      <c r="H884" s="170">
        <v>0.25</v>
      </c>
      <c r="I884" s="7" t="s">
        <v>18</v>
      </c>
      <c r="J884" s="7" t="s">
        <v>24</v>
      </c>
      <c r="K884" s="169">
        <v>46205</v>
      </c>
      <c r="L884" s="169">
        <v>46208</v>
      </c>
    </row>
    <row r="885" spans="1:12">
      <c r="A885" s="7">
        <v>5510</v>
      </c>
      <c r="B885" s="7">
        <v>3835</v>
      </c>
      <c r="C885" s="7">
        <v>7790895646737</v>
      </c>
      <c r="D885" s="7" t="s">
        <v>700</v>
      </c>
      <c r="E885" s="39">
        <v>2000.079</v>
      </c>
      <c r="F885" s="39">
        <v>1500.05925</v>
      </c>
      <c r="G885" s="90">
        <v>-500.01974999999993</v>
      </c>
      <c r="H885" s="170">
        <v>0.25</v>
      </c>
      <c r="I885" s="7" t="s">
        <v>18</v>
      </c>
      <c r="J885" s="7" t="s">
        <v>24</v>
      </c>
      <c r="K885" s="169">
        <v>46205</v>
      </c>
      <c r="L885" s="169">
        <v>46208</v>
      </c>
    </row>
    <row r="886" spans="1:12">
      <c r="A886" s="7">
        <v>8762</v>
      </c>
      <c r="B886" s="7">
        <v>3848</v>
      </c>
      <c r="C886" s="7">
        <v>7790895004933</v>
      </c>
      <c r="D886" s="7" t="s">
        <v>701</v>
      </c>
      <c r="E886" s="39">
        <v>3286.8209999999999</v>
      </c>
      <c r="F886" s="39">
        <v>2465.1157499999999</v>
      </c>
      <c r="G886" s="90">
        <v>-821.70524999999998</v>
      </c>
      <c r="H886" s="170">
        <v>0.25</v>
      </c>
      <c r="I886" s="7" t="s">
        <v>18</v>
      </c>
      <c r="J886" s="7" t="s">
        <v>24</v>
      </c>
      <c r="K886" s="169">
        <v>46205</v>
      </c>
      <c r="L886" s="169">
        <v>46208</v>
      </c>
    </row>
    <row r="887" spans="1:12">
      <c r="A887" s="7">
        <v>14024</v>
      </c>
      <c r="B887" s="7">
        <v>3836</v>
      </c>
      <c r="C887" s="7">
        <v>7790895646775</v>
      </c>
      <c r="D887" s="7" t="s">
        <v>702</v>
      </c>
      <c r="E887" s="39">
        <v>2000.079</v>
      </c>
      <c r="F887" s="39">
        <v>1500.05925</v>
      </c>
      <c r="G887" s="90">
        <v>-500.01974999999993</v>
      </c>
      <c r="H887" s="170">
        <v>0.25</v>
      </c>
      <c r="I887" s="7" t="s">
        <v>18</v>
      </c>
      <c r="J887" s="7" t="s">
        <v>24</v>
      </c>
      <c r="K887" s="169">
        <v>46205</v>
      </c>
      <c r="L887" s="169">
        <v>46208</v>
      </c>
    </row>
    <row r="888" spans="1:12">
      <c r="A888" s="7">
        <v>666686</v>
      </c>
      <c r="B888" s="7">
        <v>3834</v>
      </c>
      <c r="C888" s="7">
        <v>7790895646751</v>
      </c>
      <c r="D888" s="7" t="s">
        <v>703</v>
      </c>
      <c r="E888" s="39">
        <v>2000.079</v>
      </c>
      <c r="F888" s="39">
        <v>1500.05925</v>
      </c>
      <c r="G888" s="90">
        <v>-500.01974999999993</v>
      </c>
      <c r="H888" s="170">
        <v>0.25</v>
      </c>
      <c r="I888" s="7" t="s">
        <v>18</v>
      </c>
      <c r="J888" s="7" t="s">
        <v>24</v>
      </c>
      <c r="K888" s="169">
        <v>46205</v>
      </c>
      <c r="L888" s="169">
        <v>46208</v>
      </c>
    </row>
    <row r="889" spans="1:12">
      <c r="A889" s="7">
        <v>657469</v>
      </c>
      <c r="B889" s="7">
        <v>3850</v>
      </c>
      <c r="C889" s="7">
        <v>7790895009815</v>
      </c>
      <c r="D889" s="7" t="s">
        <v>704</v>
      </c>
      <c r="E889" s="39">
        <v>2800.07</v>
      </c>
      <c r="F889" s="39">
        <v>2100.0525000000002</v>
      </c>
      <c r="G889" s="90">
        <v>-700.01749999999993</v>
      </c>
      <c r="H889" s="170">
        <v>0.25</v>
      </c>
      <c r="I889" s="7" t="s">
        <v>18</v>
      </c>
      <c r="J889" s="7" t="s">
        <v>24</v>
      </c>
      <c r="K889" s="169">
        <v>46205</v>
      </c>
      <c r="L889" s="169">
        <v>46208</v>
      </c>
    </row>
    <row r="890" spans="1:12">
      <c r="A890" s="7">
        <v>657905</v>
      </c>
      <c r="B890" s="7">
        <v>3852</v>
      </c>
      <c r="C890" s="7">
        <v>7790895009846</v>
      </c>
      <c r="D890" s="7" t="s">
        <v>705</v>
      </c>
      <c r="E890" s="39">
        <v>2800.07</v>
      </c>
      <c r="F890" s="39">
        <v>2100.0525000000002</v>
      </c>
      <c r="G890" s="90">
        <v>-700.01749999999993</v>
      </c>
      <c r="H890" s="170">
        <v>0.25</v>
      </c>
      <c r="I890" s="7" t="s">
        <v>18</v>
      </c>
      <c r="J890" s="7" t="s">
        <v>24</v>
      </c>
      <c r="K890" s="169">
        <v>46205</v>
      </c>
      <c r="L890" s="169">
        <v>46208</v>
      </c>
    </row>
    <row r="891" spans="1:12">
      <c r="A891" s="7">
        <v>665057</v>
      </c>
      <c r="B891" s="7">
        <v>3849</v>
      </c>
      <c r="C891" s="7">
        <v>7790895649264</v>
      </c>
      <c r="D891" s="7" t="s">
        <v>706</v>
      </c>
      <c r="E891" s="39">
        <v>2799.9960000000001</v>
      </c>
      <c r="F891" s="39">
        <v>2099.9970000000003</v>
      </c>
      <c r="G891" s="90">
        <v>-699.9989999999998</v>
      </c>
      <c r="H891" s="170">
        <v>0.25</v>
      </c>
      <c r="I891" s="7" t="s">
        <v>18</v>
      </c>
      <c r="J891" s="7" t="s">
        <v>24</v>
      </c>
      <c r="K891" s="169">
        <v>46205</v>
      </c>
      <c r="L891" s="169">
        <v>46208</v>
      </c>
    </row>
    <row r="892" spans="1:12">
      <c r="A892" s="7">
        <v>665058</v>
      </c>
      <c r="B892" s="7">
        <v>3855</v>
      </c>
      <c r="C892" s="7">
        <v>7790895649240</v>
      </c>
      <c r="D892" s="7" t="s">
        <v>707</v>
      </c>
      <c r="E892" s="39">
        <v>2896.491</v>
      </c>
      <c r="F892" s="39">
        <v>2172.36825</v>
      </c>
      <c r="G892" s="90">
        <v>-724.12275</v>
      </c>
      <c r="H892" s="170">
        <v>0.25</v>
      </c>
      <c r="I892" s="7" t="s">
        <v>18</v>
      </c>
      <c r="J892" s="7" t="s">
        <v>24</v>
      </c>
      <c r="K892" s="169">
        <v>46205</v>
      </c>
      <c r="L892" s="169">
        <v>46208</v>
      </c>
    </row>
    <row r="893" spans="1:12">
      <c r="A893" s="7">
        <v>4255</v>
      </c>
      <c r="B893" s="7">
        <v>4235</v>
      </c>
      <c r="C893" s="7">
        <v>7790895003301</v>
      </c>
      <c r="D893" s="7" t="s">
        <v>708</v>
      </c>
      <c r="E893" s="39">
        <v>3100.0819999999999</v>
      </c>
      <c r="F893" s="39">
        <v>2325.0614999999998</v>
      </c>
      <c r="G893" s="90">
        <v>-775.02050000000008</v>
      </c>
      <c r="H893" s="170">
        <v>0.25</v>
      </c>
      <c r="I893" s="7" t="s">
        <v>18</v>
      </c>
      <c r="J893" s="7" t="s">
        <v>24</v>
      </c>
      <c r="K893" s="169">
        <v>46205</v>
      </c>
      <c r="L893" s="169">
        <v>46208</v>
      </c>
    </row>
    <row r="894" spans="1:12">
      <c r="A894" s="7">
        <v>4433</v>
      </c>
      <c r="B894" s="7">
        <v>4236</v>
      </c>
      <c r="C894" s="7">
        <v>7790895008504</v>
      </c>
      <c r="D894" s="7" t="s">
        <v>709</v>
      </c>
      <c r="E894" s="39">
        <v>3100.0819999999999</v>
      </c>
      <c r="F894" s="39">
        <v>2325.0614999999998</v>
      </c>
      <c r="G894" s="90">
        <v>-775.02050000000008</v>
      </c>
      <c r="H894" s="170">
        <v>0.25</v>
      </c>
      <c r="I894" s="7" t="s">
        <v>18</v>
      </c>
      <c r="J894" s="7" t="s">
        <v>24</v>
      </c>
      <c r="K894" s="169">
        <v>46205</v>
      </c>
      <c r="L894" s="169">
        <v>46208</v>
      </c>
    </row>
    <row r="895" spans="1:12">
      <c r="A895" s="7">
        <v>7341</v>
      </c>
      <c r="B895" s="7">
        <v>4237</v>
      </c>
      <c r="C895" s="7">
        <v>7790895003325</v>
      </c>
      <c r="D895" s="7" t="s">
        <v>710</v>
      </c>
      <c r="E895" s="39">
        <v>3100.0819999999999</v>
      </c>
      <c r="F895" s="39">
        <v>2325.0614999999998</v>
      </c>
      <c r="G895" s="90">
        <v>-775.02050000000008</v>
      </c>
      <c r="H895" s="170">
        <v>0.25</v>
      </c>
      <c r="I895" s="7" t="s">
        <v>18</v>
      </c>
      <c r="J895" s="7" t="s">
        <v>24</v>
      </c>
      <c r="K895" s="169">
        <v>46205</v>
      </c>
      <c r="L895" s="169">
        <v>46208</v>
      </c>
    </row>
    <row r="896" spans="1:12">
      <c r="A896" s="7">
        <v>7413</v>
      </c>
      <c r="B896" s="7">
        <v>4231</v>
      </c>
      <c r="C896" s="7">
        <v>7790895003288</v>
      </c>
      <c r="D896" s="7" t="s">
        <v>711</v>
      </c>
      <c r="E896" s="39">
        <v>3100.0819999999999</v>
      </c>
      <c r="F896" s="39">
        <v>2325.0614999999998</v>
      </c>
      <c r="G896" s="90">
        <v>-775.02050000000008</v>
      </c>
      <c r="H896" s="170">
        <v>0.25</v>
      </c>
      <c r="I896" s="7" t="s">
        <v>18</v>
      </c>
      <c r="J896" s="7" t="s">
        <v>24</v>
      </c>
      <c r="K896" s="169">
        <v>46205</v>
      </c>
      <c r="L896" s="169">
        <v>46208</v>
      </c>
    </row>
    <row r="897" spans="1:12">
      <c r="A897" s="7">
        <v>7479</v>
      </c>
      <c r="B897" s="7">
        <v>4233</v>
      </c>
      <c r="C897" s="7">
        <v>7790895003295</v>
      </c>
      <c r="D897" s="7" t="s">
        <v>712</v>
      </c>
      <c r="E897" s="39">
        <v>3100.0819999999999</v>
      </c>
      <c r="F897" s="39">
        <v>2325.0614999999998</v>
      </c>
      <c r="G897" s="90">
        <v>-775.02050000000008</v>
      </c>
      <c r="H897" s="170">
        <v>0.25</v>
      </c>
      <c r="I897" s="7" t="s">
        <v>18</v>
      </c>
      <c r="J897" s="7" t="s">
        <v>24</v>
      </c>
      <c r="K897" s="169">
        <v>46205</v>
      </c>
      <c r="L897" s="169">
        <v>46208</v>
      </c>
    </row>
    <row r="898" spans="1:12">
      <c r="A898" s="7">
        <v>8771</v>
      </c>
      <c r="B898" s="7">
        <v>4240</v>
      </c>
      <c r="C898" s="7">
        <v>7790895004971</v>
      </c>
      <c r="D898" s="7" t="s">
        <v>713</v>
      </c>
      <c r="E898" s="39">
        <v>3100.0819999999999</v>
      </c>
      <c r="F898" s="39">
        <v>2325.0614999999998</v>
      </c>
      <c r="G898" s="90">
        <v>-775.02050000000008</v>
      </c>
      <c r="H898" s="170">
        <v>0.25</v>
      </c>
      <c r="I898" s="7" t="s">
        <v>18</v>
      </c>
      <c r="J898" s="7" t="s">
        <v>24</v>
      </c>
      <c r="K898" s="169">
        <v>46205</v>
      </c>
      <c r="L898" s="169">
        <v>46208</v>
      </c>
    </row>
    <row r="899" spans="1:12">
      <c r="A899" s="7">
        <v>11681</v>
      </c>
      <c r="B899" s="7">
        <v>4079</v>
      </c>
      <c r="C899" s="7">
        <v>7790895006104</v>
      </c>
      <c r="D899" s="7" t="s">
        <v>714</v>
      </c>
      <c r="E899" s="39">
        <v>3600.0050000000001</v>
      </c>
      <c r="F899" s="39">
        <v>2340.0032500000002</v>
      </c>
      <c r="G899" s="90">
        <v>-1260.0017499999999</v>
      </c>
      <c r="H899" s="170">
        <v>0.35</v>
      </c>
      <c r="I899" s="7" t="s">
        <v>18</v>
      </c>
      <c r="J899" s="7" t="s">
        <v>112</v>
      </c>
      <c r="K899" s="169">
        <v>46205</v>
      </c>
      <c r="L899" s="169">
        <v>46208</v>
      </c>
    </row>
    <row r="900" spans="1:12">
      <c r="A900" s="7">
        <v>11682</v>
      </c>
      <c r="B900" s="7">
        <v>4075</v>
      </c>
      <c r="C900" s="7">
        <v>7790895006029</v>
      </c>
      <c r="D900" s="7" t="s">
        <v>715</v>
      </c>
      <c r="E900" s="39">
        <v>3600.0050000000001</v>
      </c>
      <c r="F900" s="39">
        <v>2340.0032500000002</v>
      </c>
      <c r="G900" s="90">
        <v>-1260.0017499999999</v>
      </c>
      <c r="H900" s="170">
        <v>0.35</v>
      </c>
      <c r="I900" s="7" t="s">
        <v>18</v>
      </c>
      <c r="J900" s="7" t="s">
        <v>112</v>
      </c>
      <c r="K900" s="169">
        <v>46205</v>
      </c>
      <c r="L900" s="169">
        <v>46208</v>
      </c>
    </row>
    <row r="901" spans="1:12">
      <c r="A901" s="7">
        <v>664855</v>
      </c>
      <c r="B901" s="7">
        <v>4076</v>
      </c>
      <c r="C901" s="7">
        <v>7790895006036</v>
      </c>
      <c r="D901" s="7" t="s">
        <v>716</v>
      </c>
      <c r="E901" s="39">
        <v>3600.0050000000001</v>
      </c>
      <c r="F901" s="39">
        <v>2340.0032500000002</v>
      </c>
      <c r="G901" s="90">
        <v>-1260.0017499999999</v>
      </c>
      <c r="H901" s="170">
        <v>0.35</v>
      </c>
      <c r="I901" s="7" t="s">
        <v>18</v>
      </c>
      <c r="J901" s="7" t="s">
        <v>112</v>
      </c>
      <c r="K901" s="169">
        <v>46205</v>
      </c>
      <c r="L901" s="169">
        <v>46208</v>
      </c>
    </row>
    <row r="902" spans="1:12">
      <c r="A902" s="7">
        <v>667114</v>
      </c>
      <c r="B902" s="7">
        <v>6690</v>
      </c>
      <c r="C902" s="7">
        <v>7898953990430</v>
      </c>
      <c r="D902" s="7" t="s">
        <v>717</v>
      </c>
      <c r="E902" s="39">
        <v>3500.0219999999999</v>
      </c>
      <c r="F902" s="39">
        <v>2275.0142999999998</v>
      </c>
      <c r="G902" s="90">
        <v>-1225.0077000000001</v>
      </c>
      <c r="H902" s="170">
        <v>0.35</v>
      </c>
      <c r="I902" s="7" t="s">
        <v>18</v>
      </c>
      <c r="J902" s="7" t="s">
        <v>112</v>
      </c>
      <c r="K902" s="169">
        <v>46205</v>
      </c>
      <c r="L902" s="169">
        <v>46208</v>
      </c>
    </row>
    <row r="903" spans="1:12">
      <c r="A903" s="7">
        <v>9216</v>
      </c>
      <c r="B903" s="7">
        <v>655</v>
      </c>
      <c r="C903" s="7">
        <v>7790895067570</v>
      </c>
      <c r="D903" s="7" t="s">
        <v>691</v>
      </c>
      <c r="E903" s="39">
        <v>4800.1809999999996</v>
      </c>
      <c r="F903" s="39">
        <v>3600.1357499999995</v>
      </c>
      <c r="G903" s="90">
        <v>-1200.0452500000001</v>
      </c>
      <c r="H903" s="170">
        <v>0.25</v>
      </c>
      <c r="I903" s="7" t="s">
        <v>15</v>
      </c>
      <c r="J903" s="7" t="s">
        <v>19</v>
      </c>
      <c r="K903" s="169">
        <v>46212</v>
      </c>
      <c r="L903" s="169">
        <v>46215</v>
      </c>
    </row>
    <row r="904" spans="1:12">
      <c r="A904" s="7">
        <v>1187</v>
      </c>
      <c r="B904" s="7">
        <v>327</v>
      </c>
      <c r="C904" s="7">
        <v>7790895000997</v>
      </c>
      <c r="D904" s="7" t="s">
        <v>692</v>
      </c>
      <c r="E904" s="39">
        <v>4800.1809999999996</v>
      </c>
      <c r="F904" s="39">
        <v>3600.1357499999995</v>
      </c>
      <c r="G904" s="90">
        <v>-1200.0452500000001</v>
      </c>
      <c r="H904" s="170">
        <v>0.25</v>
      </c>
      <c r="I904" s="7" t="s">
        <v>15</v>
      </c>
      <c r="J904" s="7" t="s">
        <v>19</v>
      </c>
      <c r="K904" s="169">
        <v>46212</v>
      </c>
      <c r="L904" s="169">
        <v>46215</v>
      </c>
    </row>
    <row r="905" spans="1:12">
      <c r="A905" s="7">
        <v>1204</v>
      </c>
      <c r="B905" s="7">
        <v>1195</v>
      </c>
      <c r="C905" s="7">
        <v>7790895001017</v>
      </c>
      <c r="D905" s="7" t="s">
        <v>693</v>
      </c>
      <c r="E905" s="39">
        <v>4600.1790000000001</v>
      </c>
      <c r="F905" s="39">
        <v>3220.1252999999997</v>
      </c>
      <c r="G905" s="90">
        <v>-1380.0537000000004</v>
      </c>
      <c r="H905" s="170">
        <v>0.3</v>
      </c>
      <c r="I905" s="7" t="s">
        <v>18</v>
      </c>
      <c r="J905" s="7" t="s">
        <v>94</v>
      </c>
      <c r="K905" s="169">
        <v>46212</v>
      </c>
      <c r="L905" s="169">
        <v>46215</v>
      </c>
    </row>
    <row r="906" spans="1:12">
      <c r="A906" s="7">
        <v>1214</v>
      </c>
      <c r="B906" s="7">
        <v>2427</v>
      </c>
      <c r="C906" s="7">
        <v>7790895001000</v>
      </c>
      <c r="D906" s="7" t="s">
        <v>694</v>
      </c>
      <c r="E906" s="39">
        <v>4600.1239999999998</v>
      </c>
      <c r="F906" s="39">
        <v>3220.0867999999996</v>
      </c>
      <c r="G906" s="90">
        <v>-1380.0372000000002</v>
      </c>
      <c r="H906" s="170">
        <v>0.3</v>
      </c>
      <c r="I906" s="7" t="s">
        <v>18</v>
      </c>
      <c r="J906" s="7" t="s">
        <v>94</v>
      </c>
      <c r="K906" s="169">
        <v>46212</v>
      </c>
      <c r="L906" s="169">
        <v>46215</v>
      </c>
    </row>
    <row r="907" spans="1:12">
      <c r="A907" s="7">
        <v>662020</v>
      </c>
      <c r="B907" s="7">
        <v>3175</v>
      </c>
      <c r="C907" s="7">
        <v>7790895004667</v>
      </c>
      <c r="D907" s="7" t="s">
        <v>695</v>
      </c>
      <c r="E907" s="39">
        <v>3600.1390000000001</v>
      </c>
      <c r="F907" s="39">
        <v>2520.0972999999999</v>
      </c>
      <c r="G907" s="90">
        <v>-1080.0417000000002</v>
      </c>
      <c r="H907" s="170">
        <v>0.3</v>
      </c>
      <c r="I907" s="7" t="s">
        <v>18</v>
      </c>
      <c r="J907" s="7" t="s">
        <v>94</v>
      </c>
      <c r="K907" s="169">
        <v>46212</v>
      </c>
      <c r="L907" s="169">
        <v>46215</v>
      </c>
    </row>
    <row r="908" spans="1:12">
      <c r="A908" s="7">
        <v>6617</v>
      </c>
      <c r="B908" s="7">
        <v>3993</v>
      </c>
      <c r="C908" s="7">
        <v>7790895064340</v>
      </c>
      <c r="D908" s="7" t="s">
        <v>1417</v>
      </c>
      <c r="E908" s="39">
        <v>2600.0740000000001</v>
      </c>
      <c r="F908" s="39">
        <v>1950.0554999999999</v>
      </c>
      <c r="G908" s="90">
        <v>-650.01850000000013</v>
      </c>
      <c r="H908" s="170">
        <v>0.25</v>
      </c>
      <c r="I908" s="7" t="s">
        <v>18</v>
      </c>
      <c r="J908" s="7" t="s">
        <v>24</v>
      </c>
      <c r="K908" s="169">
        <v>46212</v>
      </c>
      <c r="L908" s="169">
        <v>46215</v>
      </c>
    </row>
    <row r="909" spans="1:12">
      <c r="A909" s="7">
        <v>8987</v>
      </c>
      <c r="B909" s="7">
        <v>3995</v>
      </c>
      <c r="C909" s="7">
        <v>7790895065217</v>
      </c>
      <c r="D909" s="7" t="s">
        <v>1418</v>
      </c>
      <c r="E909" s="39">
        <v>2600.0740000000001</v>
      </c>
      <c r="F909" s="39">
        <v>1950.0554999999999</v>
      </c>
      <c r="G909" s="90">
        <v>-650.01850000000013</v>
      </c>
      <c r="H909" s="170">
        <v>0.25</v>
      </c>
      <c r="I909" s="7" t="s">
        <v>18</v>
      </c>
      <c r="J909" s="7" t="s">
        <v>24</v>
      </c>
      <c r="K909" s="169">
        <v>46212</v>
      </c>
      <c r="L909" s="169">
        <v>46215</v>
      </c>
    </row>
    <row r="910" spans="1:12">
      <c r="A910" s="7">
        <v>3368</v>
      </c>
      <c r="B910" s="7">
        <v>3997</v>
      </c>
      <c r="C910" s="7">
        <v>7790895064333</v>
      </c>
      <c r="D910" s="7" t="s">
        <v>1419</v>
      </c>
      <c r="E910" s="39">
        <v>2600.0740000000001</v>
      </c>
      <c r="F910" s="39">
        <v>1950.0554999999999</v>
      </c>
      <c r="G910" s="90">
        <v>-650.01850000000013</v>
      </c>
      <c r="H910" s="170">
        <v>0.25</v>
      </c>
      <c r="I910" s="7" t="s">
        <v>18</v>
      </c>
      <c r="J910" s="7" t="s">
        <v>24</v>
      </c>
      <c r="K910" s="169">
        <v>46212</v>
      </c>
      <c r="L910" s="169">
        <v>46215</v>
      </c>
    </row>
    <row r="911" spans="1:12">
      <c r="A911" s="7">
        <v>4443</v>
      </c>
      <c r="B911" s="7">
        <v>4227</v>
      </c>
      <c r="C911" s="7">
        <v>7790895641237</v>
      </c>
      <c r="D911" s="7" t="s">
        <v>1420</v>
      </c>
      <c r="E911" s="39">
        <v>2650.0659999999998</v>
      </c>
      <c r="F911" s="39">
        <v>1987.5494999999999</v>
      </c>
      <c r="G911" s="90">
        <v>-662.51649999999995</v>
      </c>
      <c r="H911" s="170">
        <v>0.25</v>
      </c>
      <c r="I911" s="7" t="s">
        <v>18</v>
      </c>
      <c r="J911" s="7" t="s">
        <v>24</v>
      </c>
      <c r="K911" s="169">
        <v>46212</v>
      </c>
      <c r="L911" s="169">
        <v>46215</v>
      </c>
    </row>
    <row r="912" spans="1:12">
      <c r="A912" s="7">
        <v>6344</v>
      </c>
      <c r="B912" s="7">
        <v>4230</v>
      </c>
      <c r="C912" s="7">
        <v>7790895004049</v>
      </c>
      <c r="D912" s="7" t="s">
        <v>1421</v>
      </c>
      <c r="E912" s="39">
        <v>2650.0659999999998</v>
      </c>
      <c r="F912" s="39">
        <v>1987.5494999999999</v>
      </c>
      <c r="G912" s="90">
        <v>-662.51649999999995</v>
      </c>
      <c r="H912" s="170">
        <v>0.25</v>
      </c>
      <c r="I912" s="7" t="s">
        <v>18</v>
      </c>
      <c r="J912" s="7" t="s">
        <v>24</v>
      </c>
      <c r="K912" s="169">
        <v>46212</v>
      </c>
      <c r="L912" s="169">
        <v>46215</v>
      </c>
    </row>
    <row r="913" spans="1:12">
      <c r="A913" s="7">
        <v>6720</v>
      </c>
      <c r="B913" s="7">
        <v>4226</v>
      </c>
      <c r="C913" s="7">
        <v>7790895008498</v>
      </c>
      <c r="D913" s="7" t="s">
        <v>1422</v>
      </c>
      <c r="E913" s="39">
        <v>2561.779</v>
      </c>
      <c r="F913" s="39">
        <v>1921.3342499999999</v>
      </c>
      <c r="G913" s="90">
        <v>-640.44475000000011</v>
      </c>
      <c r="H913" s="170">
        <v>0.25</v>
      </c>
      <c r="I913" s="7" t="s">
        <v>18</v>
      </c>
      <c r="J913" s="7" t="s">
        <v>24</v>
      </c>
      <c r="K913" s="169">
        <v>46212</v>
      </c>
      <c r="L913" s="169">
        <v>46215</v>
      </c>
    </row>
    <row r="914" spans="1:12">
      <c r="A914" s="7">
        <v>12617</v>
      </c>
      <c r="B914" s="7">
        <v>4223</v>
      </c>
      <c r="C914" s="7">
        <v>7790895640476</v>
      </c>
      <c r="D914" s="7" t="s">
        <v>1423</v>
      </c>
      <c r="E914" s="39">
        <v>2650.0659999999998</v>
      </c>
      <c r="F914" s="39">
        <v>1987.5494999999999</v>
      </c>
      <c r="G914" s="90">
        <v>-662.51649999999995</v>
      </c>
      <c r="H914" s="170">
        <v>0.25</v>
      </c>
      <c r="I914" s="7" t="s">
        <v>18</v>
      </c>
      <c r="J914" s="7" t="s">
        <v>24</v>
      </c>
      <c r="K914" s="169">
        <v>46212</v>
      </c>
      <c r="L914" s="169">
        <v>46215</v>
      </c>
    </row>
    <row r="915" spans="1:12">
      <c r="A915" s="7">
        <v>12618</v>
      </c>
      <c r="B915" s="7">
        <v>4225</v>
      </c>
      <c r="C915" s="7">
        <v>7790895640483</v>
      </c>
      <c r="D915" s="7" t="s">
        <v>1424</v>
      </c>
      <c r="E915" s="39">
        <v>2650.0659999999998</v>
      </c>
      <c r="F915" s="39">
        <v>1987.5494999999999</v>
      </c>
      <c r="G915" s="90">
        <v>-662.51649999999995</v>
      </c>
      <c r="H915" s="170">
        <v>0.25</v>
      </c>
      <c r="I915" s="7" t="s">
        <v>18</v>
      </c>
      <c r="J915" s="7" t="s">
        <v>24</v>
      </c>
      <c r="K915" s="169">
        <v>46212</v>
      </c>
      <c r="L915" s="169">
        <v>46215</v>
      </c>
    </row>
    <row r="916" spans="1:12">
      <c r="A916" s="7">
        <v>12619</v>
      </c>
      <c r="B916" s="7">
        <v>4221</v>
      </c>
      <c r="C916" s="7">
        <v>7790895640490</v>
      </c>
      <c r="D916" s="7" t="s">
        <v>1425</v>
      </c>
      <c r="E916" s="39">
        <v>2650.0659999999998</v>
      </c>
      <c r="F916" s="39">
        <v>1987.5494999999999</v>
      </c>
      <c r="G916" s="90">
        <v>-662.51649999999995</v>
      </c>
      <c r="H916" s="170">
        <v>0.25</v>
      </c>
      <c r="I916" s="7" t="s">
        <v>18</v>
      </c>
      <c r="J916" s="7" t="s">
        <v>24</v>
      </c>
      <c r="K916" s="169">
        <v>46212</v>
      </c>
      <c r="L916" s="169">
        <v>46215</v>
      </c>
    </row>
    <row r="917" spans="1:12">
      <c r="A917" s="7">
        <v>663982</v>
      </c>
      <c r="B917" s="7">
        <v>4229</v>
      </c>
      <c r="C917" s="7">
        <v>7790895641220</v>
      </c>
      <c r="D917" s="7" t="s">
        <v>1426</v>
      </c>
      <c r="E917" s="39">
        <v>2600.0740000000001</v>
      </c>
      <c r="F917" s="39">
        <v>1950.0554999999999</v>
      </c>
      <c r="G917" s="90">
        <v>-650.01850000000013</v>
      </c>
      <c r="H917" s="170">
        <v>0.25</v>
      </c>
      <c r="I917" s="7" t="s">
        <v>18</v>
      </c>
      <c r="J917" s="7" t="s">
        <v>24</v>
      </c>
      <c r="K917" s="169">
        <v>46212</v>
      </c>
      <c r="L917" s="169">
        <v>46215</v>
      </c>
    </row>
    <row r="918" spans="1:12">
      <c r="A918" s="7">
        <v>666579</v>
      </c>
      <c r="B918" s="7">
        <v>4220</v>
      </c>
      <c r="C918" s="7">
        <v>7790895651151</v>
      </c>
      <c r="D918" s="7" t="s">
        <v>1427</v>
      </c>
      <c r="E918" s="39">
        <v>2650.0970000000002</v>
      </c>
      <c r="F918" s="39">
        <v>1987.5727500000003</v>
      </c>
      <c r="G918" s="90">
        <v>-662.52424999999994</v>
      </c>
      <c r="H918" s="170">
        <v>0.25</v>
      </c>
      <c r="I918" s="7" t="s">
        <v>18</v>
      </c>
      <c r="J918" s="7" t="s">
        <v>24</v>
      </c>
      <c r="K918" s="169">
        <v>46212</v>
      </c>
      <c r="L918" s="169">
        <v>46215</v>
      </c>
    </row>
    <row r="919" spans="1:12">
      <c r="A919" s="7">
        <v>13314</v>
      </c>
      <c r="B919" s="7">
        <v>3860</v>
      </c>
      <c r="C919" s="7">
        <v>70847012832</v>
      </c>
      <c r="D919" s="7" t="s">
        <v>1428</v>
      </c>
      <c r="E919" s="39">
        <v>3104.665</v>
      </c>
      <c r="F919" s="39">
        <v>2328.4987499999997</v>
      </c>
      <c r="G919" s="90">
        <v>-776.16625000000022</v>
      </c>
      <c r="H919" s="170">
        <v>0.15</v>
      </c>
      <c r="I919" s="7" t="s">
        <v>18</v>
      </c>
      <c r="J919" s="7" t="s">
        <v>70</v>
      </c>
      <c r="K919" s="169">
        <v>46212</v>
      </c>
      <c r="L919" s="169">
        <v>46215</v>
      </c>
    </row>
    <row r="920" spans="1:12">
      <c r="A920" s="7">
        <v>12982</v>
      </c>
      <c r="B920" s="7">
        <v>3862</v>
      </c>
      <c r="C920" s="7">
        <v>1007084703475</v>
      </c>
      <c r="D920" s="7" t="s">
        <v>1429</v>
      </c>
      <c r="E920" s="39">
        <v>3104.654</v>
      </c>
      <c r="F920" s="39">
        <v>2328.4904999999999</v>
      </c>
      <c r="G920" s="90">
        <v>-776.16350000000011</v>
      </c>
      <c r="H920" s="170">
        <v>0.15</v>
      </c>
      <c r="I920" s="7" t="s">
        <v>18</v>
      </c>
      <c r="J920" s="7" t="s">
        <v>70</v>
      </c>
      <c r="K920" s="169">
        <v>46212</v>
      </c>
      <c r="L920" s="169">
        <v>46215</v>
      </c>
    </row>
    <row r="921" spans="1:12">
      <c r="A921" s="7">
        <v>19662</v>
      </c>
      <c r="B921" s="7">
        <v>3865</v>
      </c>
      <c r="C921" s="7">
        <v>1007084703703</v>
      </c>
      <c r="D921" s="7" t="s">
        <v>1430</v>
      </c>
      <c r="E921" s="39">
        <v>3104.549</v>
      </c>
      <c r="F921" s="39">
        <v>2328.4117500000002</v>
      </c>
      <c r="G921" s="90">
        <v>-776.13724999999977</v>
      </c>
      <c r="H921" s="170">
        <v>0.15</v>
      </c>
      <c r="I921" s="7" t="s">
        <v>18</v>
      </c>
      <c r="J921" s="7" t="s">
        <v>70</v>
      </c>
      <c r="K921" s="169">
        <v>46212</v>
      </c>
      <c r="L921" s="169">
        <v>46215</v>
      </c>
    </row>
    <row r="922" spans="1:12">
      <c r="A922" s="7">
        <v>658421</v>
      </c>
      <c r="B922" s="7">
        <v>3861</v>
      </c>
      <c r="C922" s="7">
        <v>70847032861</v>
      </c>
      <c r="D922" s="7" t="s">
        <v>1431</v>
      </c>
      <c r="E922" s="39">
        <v>3104.4690000000001</v>
      </c>
      <c r="F922" s="39">
        <v>2328.3517499999998</v>
      </c>
      <c r="G922" s="90">
        <v>-776.11725000000024</v>
      </c>
      <c r="H922" s="170">
        <v>0.15</v>
      </c>
      <c r="I922" s="7" t="s">
        <v>18</v>
      </c>
      <c r="J922" s="7" t="s">
        <v>70</v>
      </c>
      <c r="K922" s="169">
        <v>46212</v>
      </c>
      <c r="L922" s="169">
        <v>46215</v>
      </c>
    </row>
    <row r="923" spans="1:12">
      <c r="A923" s="7">
        <v>661191</v>
      </c>
      <c r="B923" s="7">
        <v>3866</v>
      </c>
      <c r="C923" s="7">
        <v>1007084702751</v>
      </c>
      <c r="D923" s="7" t="s">
        <v>1432</v>
      </c>
      <c r="E923" s="39">
        <v>3104.558</v>
      </c>
      <c r="F923" s="39">
        <v>2328.4184999999998</v>
      </c>
      <c r="G923" s="90">
        <v>-776.13950000000023</v>
      </c>
      <c r="H923" s="170">
        <v>0.15</v>
      </c>
      <c r="I923" s="7" t="s">
        <v>18</v>
      </c>
      <c r="J923" s="7" t="s">
        <v>70</v>
      </c>
      <c r="K923" s="169">
        <v>46212</v>
      </c>
      <c r="L923" s="169">
        <v>46215</v>
      </c>
    </row>
    <row r="924" spans="1:12">
      <c r="A924" s="7">
        <v>661900</v>
      </c>
      <c r="B924" s="7">
        <v>3867</v>
      </c>
      <c r="C924" s="7">
        <v>1007084703123</v>
      </c>
      <c r="D924" s="7" t="s">
        <v>1433</v>
      </c>
      <c r="E924" s="39">
        <v>3104.4189999999999</v>
      </c>
      <c r="F924" s="39">
        <v>2328.3142499999999</v>
      </c>
      <c r="G924" s="90">
        <v>-776.10474999999997</v>
      </c>
      <c r="H924" s="170">
        <v>0.15</v>
      </c>
      <c r="I924" s="7" t="s">
        <v>18</v>
      </c>
      <c r="J924" s="7" t="s">
        <v>70</v>
      </c>
      <c r="K924" s="169">
        <v>46212</v>
      </c>
      <c r="L924" s="169">
        <v>46215</v>
      </c>
    </row>
    <row r="925" spans="1:12">
      <c r="A925" s="7">
        <v>663913</v>
      </c>
      <c r="B925" s="7">
        <v>3868</v>
      </c>
      <c r="C925" s="7">
        <v>1007084789417</v>
      </c>
      <c r="D925" s="7" t="s">
        <v>1434</v>
      </c>
      <c r="E925" s="39">
        <v>3104.3780000000002</v>
      </c>
      <c r="F925" s="39">
        <v>2328.2835</v>
      </c>
      <c r="G925" s="90">
        <v>-776.09450000000015</v>
      </c>
      <c r="H925" s="170">
        <v>0.15</v>
      </c>
      <c r="I925" s="7" t="s">
        <v>18</v>
      </c>
      <c r="J925" s="7" t="s">
        <v>70</v>
      </c>
      <c r="K925" s="169">
        <v>46212</v>
      </c>
      <c r="L925" s="169">
        <v>46215</v>
      </c>
    </row>
    <row r="926" spans="1:12">
      <c r="A926" s="7">
        <v>664915</v>
      </c>
      <c r="B926" s="7">
        <v>3869</v>
      </c>
      <c r="C926" s="7">
        <v>7798422620090</v>
      </c>
      <c r="D926" s="7" t="s">
        <v>1435</v>
      </c>
      <c r="E926" s="39">
        <v>3104.6889999999999</v>
      </c>
      <c r="F926" s="39">
        <v>2328.5167499999998</v>
      </c>
      <c r="G926" s="90">
        <v>-776.17225000000008</v>
      </c>
      <c r="H926" s="170">
        <v>0.15</v>
      </c>
      <c r="I926" s="7" t="s">
        <v>18</v>
      </c>
      <c r="J926" s="7" t="s">
        <v>70</v>
      </c>
      <c r="K926" s="169">
        <v>46212</v>
      </c>
      <c r="L926" s="169">
        <v>46215</v>
      </c>
    </row>
    <row r="927" spans="1:12">
      <c r="A927" s="7">
        <v>666369</v>
      </c>
      <c r="B927" s="7">
        <v>3870</v>
      </c>
      <c r="C927" s="7">
        <v>7798422620120</v>
      </c>
      <c r="D927" s="7" t="s">
        <v>1436</v>
      </c>
      <c r="E927" s="39">
        <v>3104.5949999999998</v>
      </c>
      <c r="F927" s="39">
        <v>2328.44625</v>
      </c>
      <c r="G927" s="90">
        <v>-776.14874999999984</v>
      </c>
      <c r="H927" s="170">
        <v>0.15</v>
      </c>
      <c r="I927" s="7" t="s">
        <v>18</v>
      </c>
      <c r="J927" s="7" t="s">
        <v>70</v>
      </c>
      <c r="K927" s="169">
        <v>46212</v>
      </c>
      <c r="L927" s="169">
        <v>46215</v>
      </c>
    </row>
    <row r="928" spans="1:12">
      <c r="A928" s="7">
        <v>667114</v>
      </c>
      <c r="B928" s="7">
        <v>6690</v>
      </c>
      <c r="C928" s="7">
        <v>7898953990430</v>
      </c>
      <c r="D928" s="7" t="s">
        <v>717</v>
      </c>
      <c r="E928" s="39">
        <v>3500.0219999999999</v>
      </c>
      <c r="F928" s="39">
        <v>2625.0164999999997</v>
      </c>
      <c r="G928" s="90">
        <v>-875.00550000000021</v>
      </c>
      <c r="H928" s="170">
        <v>0.25</v>
      </c>
      <c r="I928" s="7" t="s">
        <v>18</v>
      </c>
      <c r="J928" s="7" t="s">
        <v>24</v>
      </c>
      <c r="K928" s="169">
        <v>46212</v>
      </c>
      <c r="L928" s="169">
        <v>46215</v>
      </c>
    </row>
    <row r="929" spans="1:12">
      <c r="A929" s="7">
        <v>1187</v>
      </c>
      <c r="B929" s="7">
        <v>327</v>
      </c>
      <c r="C929" s="7">
        <v>7790895000997</v>
      </c>
      <c r="D929" s="7" t="s">
        <v>692</v>
      </c>
      <c r="E929" s="39">
        <v>4800.1809999999996</v>
      </c>
      <c r="F929" s="39">
        <v>3600.1357499999995</v>
      </c>
      <c r="G929" s="90">
        <v>-1200.0452500000001</v>
      </c>
      <c r="H929" s="170">
        <v>0.25</v>
      </c>
      <c r="I929" s="7" t="s">
        <v>18</v>
      </c>
      <c r="J929" s="7" t="s">
        <v>24</v>
      </c>
      <c r="K929" s="169">
        <v>46219</v>
      </c>
      <c r="L929" s="169">
        <v>46223</v>
      </c>
    </row>
    <row r="930" spans="1:12">
      <c r="A930" s="7">
        <v>9216</v>
      </c>
      <c r="B930" s="7">
        <v>655</v>
      </c>
      <c r="C930" s="7">
        <v>7790895067570</v>
      </c>
      <c r="D930" s="7" t="s">
        <v>691</v>
      </c>
      <c r="E930" s="39">
        <v>4800.1809999999996</v>
      </c>
      <c r="F930" s="39">
        <v>3600.1357499999995</v>
      </c>
      <c r="G930" s="90">
        <v>-1200.0452500000001</v>
      </c>
      <c r="H930" s="170">
        <v>0.25</v>
      </c>
      <c r="I930" s="7" t="s">
        <v>18</v>
      </c>
      <c r="J930" s="7" t="s">
        <v>24</v>
      </c>
      <c r="K930" s="169">
        <v>46219</v>
      </c>
      <c r="L930" s="169">
        <v>46223</v>
      </c>
    </row>
    <row r="931" spans="1:12">
      <c r="A931" s="7">
        <v>6803</v>
      </c>
      <c r="B931" s="7">
        <v>331</v>
      </c>
      <c r="C931" s="7">
        <v>7790895006418</v>
      </c>
      <c r="D931" s="7" t="s">
        <v>1437</v>
      </c>
      <c r="E931" s="39">
        <v>5800.22</v>
      </c>
      <c r="F931" s="39">
        <v>4350.165</v>
      </c>
      <c r="G931" s="90">
        <v>-1450.0550000000003</v>
      </c>
      <c r="H931" s="170">
        <v>0.25</v>
      </c>
      <c r="I931" s="7" t="s">
        <v>18</v>
      </c>
      <c r="J931" s="7" t="s">
        <v>24</v>
      </c>
      <c r="K931" s="169">
        <v>46219</v>
      </c>
      <c r="L931" s="169">
        <v>46223</v>
      </c>
    </row>
    <row r="932" spans="1:12">
      <c r="A932" s="7">
        <v>1204</v>
      </c>
      <c r="B932" s="7">
        <v>1195</v>
      </c>
      <c r="C932" s="7">
        <v>7790895001017</v>
      </c>
      <c r="D932" s="7" t="s">
        <v>693</v>
      </c>
      <c r="E932" s="39">
        <v>4600.1790000000001</v>
      </c>
      <c r="F932" s="39">
        <v>3220.1252999999997</v>
      </c>
      <c r="G932" s="90">
        <v>-1380.0537000000004</v>
      </c>
      <c r="H932" s="170">
        <v>0.3</v>
      </c>
      <c r="I932" s="7" t="s">
        <v>18</v>
      </c>
      <c r="J932" s="7" t="s">
        <v>94</v>
      </c>
      <c r="K932" s="169">
        <v>46219</v>
      </c>
      <c r="L932" s="169">
        <v>46223</v>
      </c>
    </row>
    <row r="933" spans="1:12">
      <c r="A933" s="7">
        <v>1214</v>
      </c>
      <c r="B933" s="7">
        <v>2427</v>
      </c>
      <c r="C933" s="7">
        <v>7790895001000</v>
      </c>
      <c r="D933" s="7" t="s">
        <v>694</v>
      </c>
      <c r="E933" s="39">
        <v>4600.1239999999998</v>
      </c>
      <c r="F933" s="39">
        <v>3220.0867999999996</v>
      </c>
      <c r="G933" s="90">
        <v>-1380.0372000000002</v>
      </c>
      <c r="H933" s="170">
        <v>0.3</v>
      </c>
      <c r="I933" s="7" t="s">
        <v>18</v>
      </c>
      <c r="J933" s="7" t="s">
        <v>94</v>
      </c>
      <c r="K933" s="169">
        <v>46219</v>
      </c>
      <c r="L933" s="169">
        <v>46223</v>
      </c>
    </row>
    <row r="934" spans="1:12">
      <c r="A934" s="7">
        <v>662020</v>
      </c>
      <c r="B934" s="7">
        <v>3175</v>
      </c>
      <c r="C934" s="7">
        <v>7790895004667</v>
      </c>
      <c r="D934" s="7" t="s">
        <v>695</v>
      </c>
      <c r="E934" s="39">
        <v>3600.1390000000001</v>
      </c>
      <c r="F934" s="39">
        <v>2520.0972999999999</v>
      </c>
      <c r="G934" s="90">
        <v>-1080.0417000000002</v>
      </c>
      <c r="H934" s="170">
        <v>0.3</v>
      </c>
      <c r="I934" s="7" t="s">
        <v>18</v>
      </c>
      <c r="J934" s="7" t="s">
        <v>94</v>
      </c>
      <c r="K934" s="169">
        <v>46219</v>
      </c>
      <c r="L934" s="169">
        <v>46223</v>
      </c>
    </row>
    <row r="935" spans="1:12">
      <c r="A935" s="7">
        <v>730</v>
      </c>
      <c r="B935" s="7">
        <v>3596</v>
      </c>
      <c r="C935" s="7">
        <v>7790895644320</v>
      </c>
      <c r="D935" s="7" t="s">
        <v>1438</v>
      </c>
      <c r="E935" s="39">
        <v>2800.1019999999999</v>
      </c>
      <c r="F935" s="39">
        <v>2100.0765000000001</v>
      </c>
      <c r="G935" s="90">
        <v>-700.02549999999974</v>
      </c>
      <c r="H935" s="170">
        <v>0.25</v>
      </c>
      <c r="I935" s="7" t="s">
        <v>18</v>
      </c>
      <c r="J935" s="7" t="s">
        <v>24</v>
      </c>
      <c r="K935" s="169">
        <v>46219</v>
      </c>
      <c r="L935" s="169">
        <v>46223</v>
      </c>
    </row>
    <row r="936" spans="1:12">
      <c r="A936" s="7">
        <v>20309</v>
      </c>
      <c r="B936" s="7">
        <v>3297</v>
      </c>
      <c r="C936" s="7">
        <v>7790895643019</v>
      </c>
      <c r="D936" s="7" t="s">
        <v>1439</v>
      </c>
      <c r="E936" s="39">
        <v>2800.1019999999999</v>
      </c>
      <c r="F936" s="39">
        <v>2100.0765000000001</v>
      </c>
      <c r="G936" s="90">
        <v>-700.02549999999974</v>
      </c>
      <c r="H936" s="170">
        <v>0.25</v>
      </c>
      <c r="I936" s="7" t="s">
        <v>18</v>
      </c>
      <c r="J936" s="7" t="s">
        <v>24</v>
      </c>
      <c r="K936" s="169">
        <v>46219</v>
      </c>
      <c r="L936" s="169">
        <v>46223</v>
      </c>
    </row>
    <row r="937" spans="1:12">
      <c r="A937" s="7">
        <v>20310</v>
      </c>
      <c r="B937" s="7">
        <v>3397</v>
      </c>
      <c r="C937" s="7">
        <v>7790895643026</v>
      </c>
      <c r="D937" s="7" t="s">
        <v>1440</v>
      </c>
      <c r="E937" s="39">
        <v>2800.1019999999999</v>
      </c>
      <c r="F937" s="39">
        <v>2100.0765000000001</v>
      </c>
      <c r="G937" s="90">
        <v>-700.02549999999974</v>
      </c>
      <c r="H937" s="170">
        <v>0.25</v>
      </c>
      <c r="I937" s="7" t="s">
        <v>18</v>
      </c>
      <c r="J937" s="7" t="s">
        <v>24</v>
      </c>
      <c r="K937" s="169">
        <v>46219</v>
      </c>
      <c r="L937" s="169">
        <v>46223</v>
      </c>
    </row>
    <row r="938" spans="1:12">
      <c r="A938" s="7">
        <v>20311</v>
      </c>
      <c r="B938" s="7">
        <v>3496</v>
      </c>
      <c r="C938" s="7">
        <v>7790895643033</v>
      </c>
      <c r="D938" s="7" t="s">
        <v>1441</v>
      </c>
      <c r="E938" s="39">
        <v>2800.07</v>
      </c>
      <c r="F938" s="39">
        <v>2100.0525000000002</v>
      </c>
      <c r="G938" s="90">
        <v>-700.01749999999993</v>
      </c>
      <c r="H938" s="170">
        <v>0.25</v>
      </c>
      <c r="I938" s="7" t="s">
        <v>18</v>
      </c>
      <c r="J938" s="7" t="s">
        <v>24</v>
      </c>
      <c r="K938" s="169">
        <v>46219</v>
      </c>
      <c r="L938" s="169">
        <v>46223</v>
      </c>
    </row>
    <row r="939" spans="1:12">
      <c r="A939" s="7">
        <v>11459</v>
      </c>
      <c r="B939" s="7">
        <v>2682</v>
      </c>
      <c r="C939" s="7">
        <v>7790895647703</v>
      </c>
      <c r="D939" s="7" t="s">
        <v>1442</v>
      </c>
      <c r="E939" s="39">
        <v>2200.0630000000001</v>
      </c>
      <c r="F939" s="39">
        <v>1430.0409500000001</v>
      </c>
      <c r="G939" s="90">
        <v>-770.02205000000004</v>
      </c>
      <c r="H939" s="170">
        <v>0.35</v>
      </c>
      <c r="I939" s="7" t="s">
        <v>18</v>
      </c>
      <c r="J939" s="7" t="s">
        <v>112</v>
      </c>
      <c r="K939" s="169">
        <v>46219</v>
      </c>
      <c r="L939" s="169">
        <v>46223</v>
      </c>
    </row>
    <row r="940" spans="1:12">
      <c r="A940" s="7">
        <v>4255</v>
      </c>
      <c r="B940" s="7">
        <v>4235</v>
      </c>
      <c r="C940" s="7">
        <v>7790895003301</v>
      </c>
      <c r="D940" s="7" t="s">
        <v>708</v>
      </c>
      <c r="E940" s="39">
        <v>3100.0819999999999</v>
      </c>
      <c r="F940" s="39">
        <v>2325.0614999999998</v>
      </c>
      <c r="G940" s="90">
        <v>-775.02050000000008</v>
      </c>
      <c r="H940" s="170">
        <v>0.25</v>
      </c>
      <c r="I940" s="7" t="s">
        <v>18</v>
      </c>
      <c r="J940" s="7" t="s">
        <v>24</v>
      </c>
      <c r="K940" s="169">
        <v>46219</v>
      </c>
      <c r="L940" s="169">
        <v>46223</v>
      </c>
    </row>
    <row r="941" spans="1:12">
      <c r="A941" s="7">
        <v>4433</v>
      </c>
      <c r="B941" s="7">
        <v>4236</v>
      </c>
      <c r="C941" s="7">
        <v>7790895008504</v>
      </c>
      <c r="D941" s="7" t="s">
        <v>709</v>
      </c>
      <c r="E941" s="39">
        <v>3100.0819999999999</v>
      </c>
      <c r="F941" s="39">
        <v>2325.0614999999998</v>
      </c>
      <c r="G941" s="90">
        <v>-775.02050000000008</v>
      </c>
      <c r="H941" s="170">
        <v>0.25</v>
      </c>
      <c r="I941" s="7" t="s">
        <v>18</v>
      </c>
      <c r="J941" s="7" t="s">
        <v>24</v>
      </c>
      <c r="K941" s="169">
        <v>46219</v>
      </c>
      <c r="L941" s="169">
        <v>46223</v>
      </c>
    </row>
    <row r="942" spans="1:12">
      <c r="A942" s="7">
        <v>7341</v>
      </c>
      <c r="B942" s="7">
        <v>4237</v>
      </c>
      <c r="C942" s="7">
        <v>7790895003325</v>
      </c>
      <c r="D942" s="7" t="s">
        <v>710</v>
      </c>
      <c r="E942" s="39">
        <v>3100.0819999999999</v>
      </c>
      <c r="F942" s="39">
        <v>2325.0614999999998</v>
      </c>
      <c r="G942" s="90">
        <v>-775.02050000000008</v>
      </c>
      <c r="H942" s="170">
        <v>0.25</v>
      </c>
      <c r="I942" s="7" t="s">
        <v>18</v>
      </c>
      <c r="J942" s="7" t="s">
        <v>24</v>
      </c>
      <c r="K942" s="169">
        <v>46219</v>
      </c>
      <c r="L942" s="169">
        <v>46223</v>
      </c>
    </row>
    <row r="943" spans="1:12">
      <c r="A943" s="7">
        <v>7413</v>
      </c>
      <c r="B943" s="7">
        <v>4231</v>
      </c>
      <c r="C943" s="7">
        <v>7790895003288</v>
      </c>
      <c r="D943" s="7" t="s">
        <v>711</v>
      </c>
      <c r="E943" s="39">
        <v>3100.0819999999999</v>
      </c>
      <c r="F943" s="39">
        <v>2325.0614999999998</v>
      </c>
      <c r="G943" s="90">
        <v>-775.02050000000008</v>
      </c>
      <c r="H943" s="170">
        <v>0.25</v>
      </c>
      <c r="I943" s="7" t="s">
        <v>18</v>
      </c>
      <c r="J943" s="7" t="s">
        <v>24</v>
      </c>
      <c r="K943" s="169">
        <v>46219</v>
      </c>
      <c r="L943" s="169">
        <v>46223</v>
      </c>
    </row>
    <row r="944" spans="1:12">
      <c r="A944" s="7">
        <v>7479</v>
      </c>
      <c r="B944" s="7">
        <v>4233</v>
      </c>
      <c r="C944" s="7">
        <v>7790895003295</v>
      </c>
      <c r="D944" s="7" t="s">
        <v>712</v>
      </c>
      <c r="E944" s="39">
        <v>3100.0819999999999</v>
      </c>
      <c r="F944" s="39">
        <v>2325.0614999999998</v>
      </c>
      <c r="G944" s="90">
        <v>-775.02050000000008</v>
      </c>
      <c r="H944" s="170">
        <v>0.25</v>
      </c>
      <c r="I944" s="7" t="s">
        <v>18</v>
      </c>
      <c r="J944" s="7" t="s">
        <v>24</v>
      </c>
      <c r="K944" s="169">
        <v>46219</v>
      </c>
      <c r="L944" s="169">
        <v>46223</v>
      </c>
    </row>
    <row r="945" spans="1:12">
      <c r="A945" s="7">
        <v>8771</v>
      </c>
      <c r="B945" s="7">
        <v>4240</v>
      </c>
      <c r="C945" s="7">
        <v>7790895004971</v>
      </c>
      <c r="D945" s="7" t="s">
        <v>713</v>
      </c>
      <c r="E945" s="39">
        <v>3100.0819999999999</v>
      </c>
      <c r="F945" s="39">
        <v>2325.0614999999998</v>
      </c>
      <c r="G945" s="90">
        <v>-775.02050000000008</v>
      </c>
      <c r="H945" s="170">
        <v>0.25</v>
      </c>
      <c r="I945" s="7" t="s">
        <v>18</v>
      </c>
      <c r="J945" s="7" t="s">
        <v>24</v>
      </c>
      <c r="K945" s="169">
        <v>46219</v>
      </c>
      <c r="L945" s="169">
        <v>46223</v>
      </c>
    </row>
    <row r="946" spans="1:12">
      <c r="A946" s="7">
        <v>11681</v>
      </c>
      <c r="B946" s="7">
        <v>4079</v>
      </c>
      <c r="C946" s="7">
        <v>7790895006104</v>
      </c>
      <c r="D946" s="7" t="s">
        <v>714</v>
      </c>
      <c r="E946" s="39">
        <v>3600.0050000000001</v>
      </c>
      <c r="F946" s="39">
        <v>2340.0032500000002</v>
      </c>
      <c r="G946" s="90">
        <v>-1260.0017499999999</v>
      </c>
      <c r="H946" s="170">
        <v>0.35</v>
      </c>
      <c r="I946" s="7" t="s">
        <v>18</v>
      </c>
      <c r="J946" s="7" t="s">
        <v>112</v>
      </c>
      <c r="K946" s="169">
        <v>46219</v>
      </c>
      <c r="L946" s="169">
        <v>46223</v>
      </c>
    </row>
    <row r="947" spans="1:12">
      <c r="A947" s="7">
        <v>11682</v>
      </c>
      <c r="B947" s="7">
        <v>4075</v>
      </c>
      <c r="C947" s="7">
        <v>7790895006029</v>
      </c>
      <c r="D947" s="7" t="s">
        <v>715</v>
      </c>
      <c r="E947" s="39">
        <v>3600.0050000000001</v>
      </c>
      <c r="F947" s="39">
        <v>2340.0032500000002</v>
      </c>
      <c r="G947" s="90">
        <v>-1260.0017499999999</v>
      </c>
      <c r="H947" s="170">
        <v>0.35</v>
      </c>
      <c r="I947" s="7" t="s">
        <v>18</v>
      </c>
      <c r="J947" s="7" t="s">
        <v>112</v>
      </c>
      <c r="K947" s="169">
        <v>46219</v>
      </c>
      <c r="L947" s="169">
        <v>46223</v>
      </c>
    </row>
    <row r="948" spans="1:12">
      <c r="A948" s="7">
        <v>664855</v>
      </c>
      <c r="B948" s="7">
        <v>4076</v>
      </c>
      <c r="C948" s="7">
        <v>7790895006036</v>
      </c>
      <c r="D948" s="7" t="s">
        <v>716</v>
      </c>
      <c r="E948" s="39">
        <v>3600.0050000000001</v>
      </c>
      <c r="F948" s="39">
        <v>2340.0032500000002</v>
      </c>
      <c r="G948" s="90">
        <v>-1260.0017499999999</v>
      </c>
      <c r="H948" s="170">
        <v>0.35</v>
      </c>
      <c r="I948" s="7" t="s">
        <v>18</v>
      </c>
      <c r="J948" s="7" t="s">
        <v>112</v>
      </c>
      <c r="K948" s="169">
        <v>46219</v>
      </c>
      <c r="L948" s="169">
        <v>46223</v>
      </c>
    </row>
    <row r="949" spans="1:12">
      <c r="A949" s="7">
        <v>667114</v>
      </c>
      <c r="B949" s="7">
        <v>6690</v>
      </c>
      <c r="C949" s="7">
        <v>7898953990430</v>
      </c>
      <c r="D949" s="7" t="s">
        <v>717</v>
      </c>
      <c r="E949" s="39">
        <v>3500.0219999999999</v>
      </c>
      <c r="F949" s="39">
        <v>2275.0142999999998</v>
      </c>
      <c r="G949" s="90">
        <v>-1225.0077000000001</v>
      </c>
      <c r="H949" s="170">
        <v>0.35</v>
      </c>
      <c r="I949" s="7" t="s">
        <v>18</v>
      </c>
      <c r="J949" s="7" t="s">
        <v>112</v>
      </c>
      <c r="K949" s="169">
        <v>46219</v>
      </c>
      <c r="L949" s="169">
        <v>46223</v>
      </c>
    </row>
    <row r="950" spans="1:12">
      <c r="A950" s="7">
        <v>13314</v>
      </c>
      <c r="B950" s="7">
        <v>3860</v>
      </c>
      <c r="C950" s="7">
        <v>70847012832</v>
      </c>
      <c r="D950" s="7" t="s">
        <v>1428</v>
      </c>
      <c r="E950" s="39">
        <v>3104.665</v>
      </c>
      <c r="F950" s="39">
        <v>2328.4987499999997</v>
      </c>
      <c r="G950" s="90">
        <v>-776.16625000000022</v>
      </c>
      <c r="H950" s="170">
        <v>0.15</v>
      </c>
      <c r="I950" s="7" t="s">
        <v>18</v>
      </c>
      <c r="J950" s="7" t="s">
        <v>70</v>
      </c>
      <c r="K950" s="169">
        <v>46219</v>
      </c>
      <c r="L950" s="169">
        <v>46223</v>
      </c>
    </row>
    <row r="951" spans="1:12">
      <c r="A951" s="7">
        <v>12982</v>
      </c>
      <c r="B951" s="7">
        <v>3862</v>
      </c>
      <c r="C951" s="7">
        <v>1007084703475</v>
      </c>
      <c r="D951" s="7" t="s">
        <v>1429</v>
      </c>
      <c r="E951" s="39">
        <v>3104.654</v>
      </c>
      <c r="F951" s="39">
        <v>2328.4904999999999</v>
      </c>
      <c r="G951" s="90">
        <v>-776.16350000000011</v>
      </c>
      <c r="H951" s="170">
        <v>0.15</v>
      </c>
      <c r="I951" s="7" t="s">
        <v>18</v>
      </c>
      <c r="J951" s="7" t="s">
        <v>70</v>
      </c>
      <c r="K951" s="169">
        <v>46219</v>
      </c>
      <c r="L951" s="169">
        <v>46223</v>
      </c>
    </row>
    <row r="952" spans="1:12">
      <c r="A952" s="7">
        <v>19662</v>
      </c>
      <c r="B952" s="7">
        <v>3865</v>
      </c>
      <c r="C952" s="7">
        <v>1007084703703</v>
      </c>
      <c r="D952" s="7" t="s">
        <v>1430</v>
      </c>
      <c r="E952" s="39">
        <v>3104.549</v>
      </c>
      <c r="F952" s="39">
        <v>2328.4117500000002</v>
      </c>
      <c r="G952" s="90">
        <v>-776.13724999999977</v>
      </c>
      <c r="H952" s="170">
        <v>0.15</v>
      </c>
      <c r="I952" s="7" t="s">
        <v>18</v>
      </c>
      <c r="J952" s="7" t="s">
        <v>70</v>
      </c>
      <c r="K952" s="169">
        <v>46219</v>
      </c>
      <c r="L952" s="169">
        <v>46223</v>
      </c>
    </row>
    <row r="953" spans="1:12">
      <c r="A953" s="7">
        <v>658421</v>
      </c>
      <c r="B953" s="7">
        <v>3861</v>
      </c>
      <c r="C953" s="7">
        <v>70847032861</v>
      </c>
      <c r="D953" s="7" t="s">
        <v>1431</v>
      </c>
      <c r="E953" s="39">
        <v>3104.4690000000001</v>
      </c>
      <c r="F953" s="39">
        <v>2328.3517499999998</v>
      </c>
      <c r="G953" s="90">
        <v>-776.11725000000024</v>
      </c>
      <c r="H953" s="170">
        <v>0.15</v>
      </c>
      <c r="I953" s="7" t="s">
        <v>18</v>
      </c>
      <c r="J953" s="7" t="s">
        <v>70</v>
      </c>
      <c r="K953" s="169">
        <v>46219</v>
      </c>
      <c r="L953" s="169">
        <v>46223</v>
      </c>
    </row>
    <row r="954" spans="1:12">
      <c r="A954" s="7">
        <v>661191</v>
      </c>
      <c r="B954" s="7">
        <v>3866</v>
      </c>
      <c r="C954" s="7">
        <v>1007084702751</v>
      </c>
      <c r="D954" s="7" t="s">
        <v>1432</v>
      </c>
      <c r="E954" s="39">
        <v>3104.558</v>
      </c>
      <c r="F954" s="39">
        <v>2328.4184999999998</v>
      </c>
      <c r="G954" s="90">
        <v>-776.13950000000023</v>
      </c>
      <c r="H954" s="170">
        <v>0.15</v>
      </c>
      <c r="I954" s="7" t="s">
        <v>18</v>
      </c>
      <c r="J954" s="7" t="s">
        <v>70</v>
      </c>
      <c r="K954" s="169">
        <v>46219</v>
      </c>
      <c r="L954" s="169">
        <v>46223</v>
      </c>
    </row>
    <row r="955" spans="1:12">
      <c r="A955" s="7">
        <v>661900</v>
      </c>
      <c r="B955" s="7">
        <v>3867</v>
      </c>
      <c r="C955" s="7">
        <v>1007084703123</v>
      </c>
      <c r="D955" s="7" t="s">
        <v>1433</v>
      </c>
      <c r="E955" s="39">
        <v>3104.4189999999999</v>
      </c>
      <c r="F955" s="39">
        <v>2328.3142499999999</v>
      </c>
      <c r="G955" s="90">
        <v>-776.10474999999997</v>
      </c>
      <c r="H955" s="170">
        <v>0.15</v>
      </c>
      <c r="I955" s="7" t="s">
        <v>18</v>
      </c>
      <c r="J955" s="7" t="s">
        <v>70</v>
      </c>
      <c r="K955" s="169">
        <v>46219</v>
      </c>
      <c r="L955" s="169">
        <v>46223</v>
      </c>
    </row>
    <row r="956" spans="1:12">
      <c r="A956" s="7">
        <v>663913</v>
      </c>
      <c r="B956" s="7">
        <v>3868</v>
      </c>
      <c r="C956" s="7">
        <v>1007084789417</v>
      </c>
      <c r="D956" s="7" t="s">
        <v>1434</v>
      </c>
      <c r="E956" s="39">
        <v>3104.3780000000002</v>
      </c>
      <c r="F956" s="39">
        <v>2328.2835</v>
      </c>
      <c r="G956" s="90">
        <v>-776.09450000000015</v>
      </c>
      <c r="H956" s="170">
        <v>0.15</v>
      </c>
      <c r="I956" s="7" t="s">
        <v>18</v>
      </c>
      <c r="J956" s="7" t="s">
        <v>70</v>
      </c>
      <c r="K956" s="169">
        <v>46219</v>
      </c>
      <c r="L956" s="169">
        <v>46223</v>
      </c>
    </row>
    <row r="957" spans="1:12">
      <c r="A957" s="7">
        <v>664915</v>
      </c>
      <c r="B957" s="7">
        <v>3869</v>
      </c>
      <c r="C957" s="7">
        <v>7798422620090</v>
      </c>
      <c r="D957" s="7" t="s">
        <v>1435</v>
      </c>
      <c r="E957" s="39">
        <v>3104.6889999999999</v>
      </c>
      <c r="F957" s="39">
        <v>2328.5167499999998</v>
      </c>
      <c r="G957" s="90">
        <v>-776.17225000000008</v>
      </c>
      <c r="H957" s="170">
        <v>0.15</v>
      </c>
      <c r="I957" s="7" t="s">
        <v>18</v>
      </c>
      <c r="J957" s="7" t="s">
        <v>70</v>
      </c>
      <c r="K957" s="169">
        <v>46219</v>
      </c>
      <c r="L957" s="169">
        <v>46223</v>
      </c>
    </row>
    <row r="958" spans="1:12">
      <c r="A958" s="7">
        <v>666369</v>
      </c>
      <c r="B958" s="7">
        <v>3870</v>
      </c>
      <c r="C958" s="7">
        <v>7798422620120</v>
      </c>
      <c r="D958" s="7" t="s">
        <v>1436</v>
      </c>
      <c r="E958" s="39">
        <v>3104.5949999999998</v>
      </c>
      <c r="F958" s="39">
        <v>2328.44625</v>
      </c>
      <c r="G958" s="90">
        <v>-776.14874999999984</v>
      </c>
      <c r="H958" s="170">
        <v>0.15</v>
      </c>
      <c r="I958" s="7" t="s">
        <v>18</v>
      </c>
      <c r="J958" s="7" t="s">
        <v>70</v>
      </c>
      <c r="K958" s="169">
        <v>46219</v>
      </c>
      <c r="L958" s="169">
        <v>46223</v>
      </c>
    </row>
    <row r="959" spans="1:12">
      <c r="A959" s="7">
        <v>9216</v>
      </c>
      <c r="B959" s="7">
        <v>655</v>
      </c>
      <c r="C959" s="7">
        <v>7790895067570</v>
      </c>
      <c r="D959" s="7" t="s">
        <v>691</v>
      </c>
      <c r="E959" s="39">
        <v>4800.1809999999996</v>
      </c>
      <c r="F959" s="39">
        <v>3120.1176499999997</v>
      </c>
      <c r="G959" s="90">
        <v>-1680.0633499999999</v>
      </c>
      <c r="H959" s="170">
        <v>0.35</v>
      </c>
      <c r="I959" s="7" t="s">
        <v>15</v>
      </c>
      <c r="J959" s="7" t="s">
        <v>16</v>
      </c>
      <c r="K959" s="171">
        <v>46226</v>
      </c>
      <c r="L959" s="171">
        <v>46229</v>
      </c>
    </row>
    <row r="960" spans="1:12">
      <c r="A960" s="7">
        <v>1204</v>
      </c>
      <c r="B960" s="7">
        <v>1195</v>
      </c>
      <c r="C960" s="7">
        <v>7790895001017</v>
      </c>
      <c r="D960" s="7" t="s">
        <v>693</v>
      </c>
      <c r="E960" s="39">
        <v>4600.1790000000001</v>
      </c>
      <c r="F960" s="39">
        <v>3220.1252999999997</v>
      </c>
      <c r="G960" s="90">
        <v>-1380.0537000000004</v>
      </c>
      <c r="H960" s="170">
        <v>0.3</v>
      </c>
      <c r="I960" s="7" t="s">
        <v>18</v>
      </c>
      <c r="J960" s="7" t="s">
        <v>94</v>
      </c>
      <c r="K960" s="171">
        <v>46226</v>
      </c>
      <c r="L960" s="171">
        <v>46229</v>
      </c>
    </row>
    <row r="961" spans="1:12">
      <c r="A961" s="7">
        <v>1214</v>
      </c>
      <c r="B961" s="7">
        <v>2427</v>
      </c>
      <c r="C961" s="7">
        <v>7790895001000</v>
      </c>
      <c r="D961" s="7" t="s">
        <v>694</v>
      </c>
      <c r="E961" s="39">
        <v>4600.1239999999998</v>
      </c>
      <c r="F961" s="39">
        <v>3220.0867999999996</v>
      </c>
      <c r="G961" s="90">
        <v>-1380.0372000000002</v>
      </c>
      <c r="H961" s="170">
        <v>0.3</v>
      </c>
      <c r="I961" s="7" t="s">
        <v>18</v>
      </c>
      <c r="J961" s="7" t="s">
        <v>94</v>
      </c>
      <c r="K961" s="171">
        <v>46226</v>
      </c>
      <c r="L961" s="171">
        <v>46229</v>
      </c>
    </row>
    <row r="962" spans="1:12">
      <c r="A962" s="7">
        <v>662020</v>
      </c>
      <c r="B962" s="7">
        <v>3175</v>
      </c>
      <c r="C962" s="7">
        <v>7790895004667</v>
      </c>
      <c r="D962" s="7" t="s">
        <v>695</v>
      </c>
      <c r="E962" s="39">
        <v>3600.1390000000001</v>
      </c>
      <c r="F962" s="39">
        <v>2520.0972999999999</v>
      </c>
      <c r="G962" s="90">
        <v>-1080.0417000000002</v>
      </c>
      <c r="H962" s="170">
        <v>0.3</v>
      </c>
      <c r="I962" s="7" t="s">
        <v>18</v>
      </c>
      <c r="J962" s="7" t="s">
        <v>94</v>
      </c>
      <c r="K962" s="171">
        <v>46226</v>
      </c>
      <c r="L962" s="171">
        <v>46229</v>
      </c>
    </row>
    <row r="963" spans="1:12">
      <c r="A963" s="7">
        <v>730</v>
      </c>
      <c r="B963" s="7">
        <v>3596</v>
      </c>
      <c r="C963" s="7">
        <v>7790895644320</v>
      </c>
      <c r="D963" s="7" t="s">
        <v>1438</v>
      </c>
      <c r="E963" s="39">
        <v>2800.1019999999999</v>
      </c>
      <c r="F963" s="39">
        <v>2100.0765000000001</v>
      </c>
      <c r="G963" s="90">
        <v>-700.02549999999974</v>
      </c>
      <c r="H963" s="170">
        <v>0.25</v>
      </c>
      <c r="I963" s="7" t="s">
        <v>18</v>
      </c>
      <c r="J963" s="7" t="s">
        <v>24</v>
      </c>
      <c r="K963" s="171">
        <v>46226</v>
      </c>
      <c r="L963" s="171">
        <v>46229</v>
      </c>
    </row>
    <row r="964" spans="1:12">
      <c r="A964" s="7">
        <v>20309</v>
      </c>
      <c r="B964" s="7">
        <v>3297</v>
      </c>
      <c r="C964" s="7">
        <v>7790895643019</v>
      </c>
      <c r="D964" s="7" t="s">
        <v>1439</v>
      </c>
      <c r="E964" s="39">
        <v>2800.1019999999999</v>
      </c>
      <c r="F964" s="39">
        <v>2100.0765000000001</v>
      </c>
      <c r="G964" s="90">
        <v>-700.02549999999974</v>
      </c>
      <c r="H964" s="170">
        <v>0.25</v>
      </c>
      <c r="I964" s="7" t="s">
        <v>18</v>
      </c>
      <c r="J964" s="7" t="s">
        <v>24</v>
      </c>
      <c r="K964" s="171">
        <v>46226</v>
      </c>
      <c r="L964" s="171">
        <v>46229</v>
      </c>
    </row>
    <row r="965" spans="1:12">
      <c r="A965" s="7">
        <v>20310</v>
      </c>
      <c r="B965" s="7">
        <v>3397</v>
      </c>
      <c r="C965" s="7">
        <v>7790895643026</v>
      </c>
      <c r="D965" s="7" t="s">
        <v>1440</v>
      </c>
      <c r="E965" s="39">
        <v>2800.1019999999999</v>
      </c>
      <c r="F965" s="39">
        <v>2100.0765000000001</v>
      </c>
      <c r="G965" s="90">
        <v>-700.02549999999974</v>
      </c>
      <c r="H965" s="170">
        <v>0.25</v>
      </c>
      <c r="I965" s="7" t="s">
        <v>18</v>
      </c>
      <c r="J965" s="7" t="s">
        <v>24</v>
      </c>
      <c r="K965" s="171">
        <v>46226</v>
      </c>
      <c r="L965" s="171">
        <v>46229</v>
      </c>
    </row>
    <row r="966" spans="1:12">
      <c r="A966" s="7">
        <v>20311</v>
      </c>
      <c r="B966" s="7">
        <v>3496</v>
      </c>
      <c r="C966" s="7">
        <v>7790895643033</v>
      </c>
      <c r="D966" s="7" t="s">
        <v>1441</v>
      </c>
      <c r="E966" s="39">
        <v>2800.07</v>
      </c>
      <c r="F966" s="39">
        <v>2100.0525000000002</v>
      </c>
      <c r="G966" s="90">
        <v>-700.01749999999993</v>
      </c>
      <c r="H966" s="170">
        <v>0.25</v>
      </c>
      <c r="I966" s="7" t="s">
        <v>18</v>
      </c>
      <c r="J966" s="7" t="s">
        <v>24</v>
      </c>
      <c r="K966" s="171">
        <v>46226</v>
      </c>
      <c r="L966" s="171">
        <v>46229</v>
      </c>
    </row>
    <row r="967" spans="1:12">
      <c r="A967" s="7">
        <v>4443</v>
      </c>
      <c r="B967" s="7">
        <v>4227</v>
      </c>
      <c r="C967" s="7">
        <v>7790895641237</v>
      </c>
      <c r="D967" s="7" t="s">
        <v>1420</v>
      </c>
      <c r="E967" s="39">
        <v>2650.0659999999998</v>
      </c>
      <c r="F967" s="39">
        <v>1987.5494999999999</v>
      </c>
      <c r="G967" s="90">
        <v>-662.51649999999995</v>
      </c>
      <c r="H967" s="170">
        <v>0.25</v>
      </c>
      <c r="I967" s="7" t="s">
        <v>18</v>
      </c>
      <c r="J967" s="7" t="s">
        <v>24</v>
      </c>
      <c r="K967" s="171">
        <v>46226</v>
      </c>
      <c r="L967" s="171">
        <v>46229</v>
      </c>
    </row>
    <row r="968" spans="1:12">
      <c r="A968" s="7">
        <v>6344</v>
      </c>
      <c r="B968" s="7">
        <v>4230</v>
      </c>
      <c r="C968" s="7">
        <v>7790895004049</v>
      </c>
      <c r="D968" s="7" t="s">
        <v>1421</v>
      </c>
      <c r="E968" s="39">
        <v>2650.0659999999998</v>
      </c>
      <c r="F968" s="39">
        <v>1987.5494999999999</v>
      </c>
      <c r="G968" s="90">
        <v>-662.51649999999995</v>
      </c>
      <c r="H968" s="170">
        <v>0.25</v>
      </c>
      <c r="I968" s="7" t="s">
        <v>18</v>
      </c>
      <c r="J968" s="7" t="s">
        <v>24</v>
      </c>
      <c r="K968" s="171">
        <v>46226</v>
      </c>
      <c r="L968" s="171">
        <v>46229</v>
      </c>
    </row>
    <row r="969" spans="1:12">
      <c r="A969" s="7">
        <v>6720</v>
      </c>
      <c r="B969" s="7">
        <v>4226</v>
      </c>
      <c r="C969" s="7">
        <v>7790895008498</v>
      </c>
      <c r="D969" s="7" t="s">
        <v>1422</v>
      </c>
      <c r="E969" s="39">
        <v>2561.779</v>
      </c>
      <c r="F969" s="39">
        <v>1921.3342499999999</v>
      </c>
      <c r="G969" s="90">
        <v>-640.44475000000011</v>
      </c>
      <c r="H969" s="170">
        <v>0.25</v>
      </c>
      <c r="I969" s="7" t="s">
        <v>18</v>
      </c>
      <c r="J969" s="7" t="s">
        <v>24</v>
      </c>
      <c r="K969" s="171">
        <v>46226</v>
      </c>
      <c r="L969" s="171">
        <v>46229</v>
      </c>
    </row>
    <row r="970" spans="1:12">
      <c r="A970" s="7">
        <v>12617</v>
      </c>
      <c r="B970" s="7">
        <v>4223</v>
      </c>
      <c r="C970" s="7">
        <v>7790895640476</v>
      </c>
      <c r="D970" s="7" t="s">
        <v>1423</v>
      </c>
      <c r="E970" s="39">
        <v>2650.0659999999998</v>
      </c>
      <c r="F970" s="39">
        <v>1987.5494999999999</v>
      </c>
      <c r="G970" s="90">
        <v>-662.51649999999995</v>
      </c>
      <c r="H970" s="170">
        <v>0.25</v>
      </c>
      <c r="I970" s="7" t="s">
        <v>18</v>
      </c>
      <c r="J970" s="7" t="s">
        <v>24</v>
      </c>
      <c r="K970" s="171">
        <v>46226</v>
      </c>
      <c r="L970" s="171">
        <v>46229</v>
      </c>
    </row>
    <row r="971" spans="1:12">
      <c r="A971" s="7">
        <v>12618</v>
      </c>
      <c r="B971" s="7">
        <v>4225</v>
      </c>
      <c r="C971" s="7">
        <v>7790895640483</v>
      </c>
      <c r="D971" s="7" t="s">
        <v>1424</v>
      </c>
      <c r="E971" s="39">
        <v>2650.0659999999998</v>
      </c>
      <c r="F971" s="39">
        <v>1987.5494999999999</v>
      </c>
      <c r="G971" s="90">
        <v>-662.51649999999995</v>
      </c>
      <c r="H971" s="170">
        <v>0.25</v>
      </c>
      <c r="I971" s="7" t="s">
        <v>18</v>
      </c>
      <c r="J971" s="7" t="s">
        <v>24</v>
      </c>
      <c r="K971" s="171">
        <v>46226</v>
      </c>
      <c r="L971" s="171">
        <v>46229</v>
      </c>
    </row>
    <row r="972" spans="1:12">
      <c r="A972" s="7">
        <v>12619</v>
      </c>
      <c r="B972" s="7">
        <v>4221</v>
      </c>
      <c r="C972" s="7">
        <v>7790895640490</v>
      </c>
      <c r="D972" s="7" t="s">
        <v>1425</v>
      </c>
      <c r="E972" s="39">
        <v>2650.0659999999998</v>
      </c>
      <c r="F972" s="39">
        <v>1987.5494999999999</v>
      </c>
      <c r="G972" s="90">
        <v>-662.51649999999995</v>
      </c>
      <c r="H972" s="170">
        <v>0.25</v>
      </c>
      <c r="I972" s="7" t="s">
        <v>18</v>
      </c>
      <c r="J972" s="7" t="s">
        <v>24</v>
      </c>
      <c r="K972" s="171">
        <v>46226</v>
      </c>
      <c r="L972" s="171">
        <v>46229</v>
      </c>
    </row>
    <row r="973" spans="1:12">
      <c r="A973" s="7">
        <v>663982</v>
      </c>
      <c r="B973" s="7">
        <v>4229</v>
      </c>
      <c r="C973" s="7">
        <v>7790895641220</v>
      </c>
      <c r="D973" s="7" t="s">
        <v>1426</v>
      </c>
      <c r="E973" s="39">
        <v>2600.0740000000001</v>
      </c>
      <c r="F973" s="39">
        <v>1950.0554999999999</v>
      </c>
      <c r="G973" s="90">
        <v>-650.01850000000013</v>
      </c>
      <c r="H973" s="170">
        <v>0.25</v>
      </c>
      <c r="I973" s="7" t="s">
        <v>18</v>
      </c>
      <c r="J973" s="7" t="s">
        <v>24</v>
      </c>
      <c r="K973" s="171">
        <v>46226</v>
      </c>
      <c r="L973" s="171">
        <v>46229</v>
      </c>
    </row>
    <row r="974" spans="1:12">
      <c r="A974" s="7">
        <v>666579</v>
      </c>
      <c r="B974" s="7">
        <v>4220</v>
      </c>
      <c r="C974" s="7">
        <v>7790895651151</v>
      </c>
      <c r="D974" s="7" t="s">
        <v>1427</v>
      </c>
      <c r="E974" s="39">
        <v>2650.0970000000002</v>
      </c>
      <c r="F974" s="39">
        <v>1987.5727500000003</v>
      </c>
      <c r="G974" s="90">
        <v>-662.52424999999994</v>
      </c>
      <c r="H974" s="170">
        <v>0.25</v>
      </c>
      <c r="I974" s="7" t="s">
        <v>18</v>
      </c>
      <c r="J974" s="7" t="s">
        <v>24</v>
      </c>
      <c r="K974" s="171">
        <v>46226</v>
      </c>
      <c r="L974" s="171">
        <v>46229</v>
      </c>
    </row>
    <row r="975" spans="1:12">
      <c r="A975" s="7">
        <v>9216</v>
      </c>
      <c r="B975" s="7">
        <v>655</v>
      </c>
      <c r="C975" s="7">
        <v>7790895067570</v>
      </c>
      <c r="D975" s="7" t="s">
        <v>691</v>
      </c>
      <c r="E975" s="39">
        <v>4800.1809999999996</v>
      </c>
      <c r="F975" s="39">
        <v>3120.1176499999997</v>
      </c>
      <c r="G975" s="90">
        <v>-1680.0633499999999</v>
      </c>
      <c r="H975" s="170">
        <v>0.35</v>
      </c>
      <c r="I975" s="7" t="s">
        <v>15</v>
      </c>
      <c r="J975" s="7" t="s">
        <v>16</v>
      </c>
      <c r="K975" s="171">
        <v>46233</v>
      </c>
      <c r="L975" s="171">
        <v>46236</v>
      </c>
    </row>
    <row r="976" spans="1:12">
      <c r="A976" s="7">
        <v>1204</v>
      </c>
      <c r="B976" s="7">
        <v>1195</v>
      </c>
      <c r="C976" s="7">
        <v>7790895001017</v>
      </c>
      <c r="D976" s="7" t="s">
        <v>693</v>
      </c>
      <c r="E976" s="39">
        <v>4600.1790000000001</v>
      </c>
      <c r="F976" s="39">
        <v>3220.1252999999997</v>
      </c>
      <c r="G976" s="90">
        <v>-1380.0537000000004</v>
      </c>
      <c r="H976" s="170">
        <v>0.3</v>
      </c>
      <c r="I976" s="7" t="s">
        <v>18</v>
      </c>
      <c r="J976" s="7" t="s">
        <v>94</v>
      </c>
      <c r="K976" s="171">
        <v>46233</v>
      </c>
      <c r="L976" s="171">
        <v>46236</v>
      </c>
    </row>
    <row r="977" spans="1:12">
      <c r="A977" s="7">
        <v>1214</v>
      </c>
      <c r="B977" s="7">
        <v>2427</v>
      </c>
      <c r="C977" s="7">
        <v>7790895001000</v>
      </c>
      <c r="D977" s="7" t="s">
        <v>694</v>
      </c>
      <c r="E977" s="39">
        <v>4600.1239999999998</v>
      </c>
      <c r="F977" s="39">
        <v>3220.0867999999996</v>
      </c>
      <c r="G977" s="90">
        <v>-1380.0372000000002</v>
      </c>
      <c r="H977" s="170">
        <v>0.3</v>
      </c>
      <c r="I977" s="7" t="s">
        <v>18</v>
      </c>
      <c r="J977" s="7" t="s">
        <v>94</v>
      </c>
      <c r="K977" s="171">
        <v>46233</v>
      </c>
      <c r="L977" s="171">
        <v>46236</v>
      </c>
    </row>
    <row r="978" spans="1:12">
      <c r="A978" s="7">
        <v>662020</v>
      </c>
      <c r="B978" s="7">
        <v>3175</v>
      </c>
      <c r="C978" s="7">
        <v>7790895004667</v>
      </c>
      <c r="D978" s="7" t="s">
        <v>695</v>
      </c>
      <c r="E978" s="39">
        <v>3600.1390000000001</v>
      </c>
      <c r="F978" s="39">
        <v>2520.0972999999999</v>
      </c>
      <c r="G978" s="90">
        <v>-1080.0417000000002</v>
      </c>
      <c r="H978" s="170">
        <v>0.3</v>
      </c>
      <c r="I978" s="7" t="s">
        <v>18</v>
      </c>
      <c r="J978" s="7" t="s">
        <v>94</v>
      </c>
      <c r="K978" s="171">
        <v>46233</v>
      </c>
      <c r="L978" s="171">
        <v>46236</v>
      </c>
    </row>
    <row r="979" spans="1:12">
      <c r="A979" s="7">
        <v>730</v>
      </c>
      <c r="B979" s="7">
        <v>3596</v>
      </c>
      <c r="C979" s="7">
        <v>7790895644320</v>
      </c>
      <c r="D979" s="7" t="s">
        <v>1438</v>
      </c>
      <c r="E979" s="39">
        <v>2800.1019999999999</v>
      </c>
      <c r="F979" s="39">
        <v>2100.0765000000001</v>
      </c>
      <c r="G979" s="90">
        <v>-700.02549999999974</v>
      </c>
      <c r="H979" s="170">
        <v>0.25</v>
      </c>
      <c r="I979" s="7" t="s">
        <v>18</v>
      </c>
      <c r="J979" s="7" t="s">
        <v>24</v>
      </c>
      <c r="K979" s="171">
        <v>46233</v>
      </c>
      <c r="L979" s="171">
        <v>46236</v>
      </c>
    </row>
    <row r="980" spans="1:12">
      <c r="A980" s="7">
        <v>20309</v>
      </c>
      <c r="B980" s="7">
        <v>3297</v>
      </c>
      <c r="C980" s="7">
        <v>7790895643019</v>
      </c>
      <c r="D980" s="7" t="s">
        <v>1439</v>
      </c>
      <c r="E980" s="39">
        <v>2800.1019999999999</v>
      </c>
      <c r="F980" s="39">
        <v>2100.0765000000001</v>
      </c>
      <c r="G980" s="90">
        <v>-700.02549999999974</v>
      </c>
      <c r="H980" s="170">
        <v>0.25</v>
      </c>
      <c r="I980" s="7" t="s">
        <v>18</v>
      </c>
      <c r="J980" s="7" t="s">
        <v>24</v>
      </c>
      <c r="K980" s="171">
        <v>46233</v>
      </c>
      <c r="L980" s="171">
        <v>46236</v>
      </c>
    </row>
    <row r="981" spans="1:12">
      <c r="A981" s="7">
        <v>20310</v>
      </c>
      <c r="B981" s="7">
        <v>3397</v>
      </c>
      <c r="C981" s="7">
        <v>7790895643026</v>
      </c>
      <c r="D981" s="7" t="s">
        <v>1440</v>
      </c>
      <c r="E981" s="39">
        <v>2800.1019999999999</v>
      </c>
      <c r="F981" s="39">
        <v>2100.0765000000001</v>
      </c>
      <c r="G981" s="90">
        <v>-700.02549999999974</v>
      </c>
      <c r="H981" s="170">
        <v>0.25</v>
      </c>
      <c r="I981" s="7" t="s">
        <v>18</v>
      </c>
      <c r="J981" s="7" t="s">
        <v>24</v>
      </c>
      <c r="K981" s="171">
        <v>46233</v>
      </c>
      <c r="L981" s="171">
        <v>46236</v>
      </c>
    </row>
    <row r="982" spans="1:12">
      <c r="A982" s="7">
        <v>20311</v>
      </c>
      <c r="B982" s="7">
        <v>3496</v>
      </c>
      <c r="C982" s="7">
        <v>7790895643033</v>
      </c>
      <c r="D982" s="7" t="s">
        <v>1441</v>
      </c>
      <c r="E982" s="39">
        <v>2800.07</v>
      </c>
      <c r="F982" s="39">
        <v>2100.0525000000002</v>
      </c>
      <c r="G982" s="90">
        <v>-700.01749999999993</v>
      </c>
      <c r="H982" s="170">
        <v>0.25</v>
      </c>
      <c r="I982" s="7" t="s">
        <v>18</v>
      </c>
      <c r="J982" s="7" t="s">
        <v>24</v>
      </c>
      <c r="K982" s="171">
        <v>46233</v>
      </c>
      <c r="L982" s="171">
        <v>46236</v>
      </c>
    </row>
    <row r="983" spans="1:12">
      <c r="A983" s="7">
        <v>11459</v>
      </c>
      <c r="B983" s="7">
        <v>2682</v>
      </c>
      <c r="C983" s="7">
        <v>7790895647703</v>
      </c>
      <c r="D983" s="7" t="s">
        <v>1442</v>
      </c>
      <c r="E983" s="39">
        <v>2200.0630000000001</v>
      </c>
      <c r="F983" s="39">
        <v>1430.0409500000001</v>
      </c>
      <c r="G983" s="90">
        <v>-770.02205000000004</v>
      </c>
      <c r="H983" s="170">
        <v>0.35</v>
      </c>
      <c r="I983" s="7" t="s">
        <v>18</v>
      </c>
      <c r="J983" s="7" t="s">
        <v>112</v>
      </c>
      <c r="K983" s="171">
        <v>46233</v>
      </c>
      <c r="L983" s="171">
        <v>46236</v>
      </c>
    </row>
    <row r="984" spans="1:12">
      <c r="A984" s="7">
        <v>4255</v>
      </c>
      <c r="B984" s="7">
        <v>4235</v>
      </c>
      <c r="C984" s="7">
        <v>7790895003301</v>
      </c>
      <c r="D984" s="7" t="s">
        <v>708</v>
      </c>
      <c r="E984" s="39">
        <v>3100.0819999999999</v>
      </c>
      <c r="F984" s="39">
        <v>2325.0614999999998</v>
      </c>
      <c r="G984" s="90">
        <v>-775.02050000000008</v>
      </c>
      <c r="H984" s="170">
        <v>0.25</v>
      </c>
      <c r="I984" s="7" t="s">
        <v>18</v>
      </c>
      <c r="J984" s="7" t="s">
        <v>24</v>
      </c>
      <c r="K984" s="171">
        <v>46233</v>
      </c>
      <c r="L984" s="171">
        <v>46236</v>
      </c>
    </row>
    <row r="985" spans="1:12">
      <c r="A985" s="7">
        <v>4433</v>
      </c>
      <c r="B985" s="7">
        <v>4236</v>
      </c>
      <c r="C985" s="7">
        <v>7790895008504</v>
      </c>
      <c r="D985" s="7" t="s">
        <v>709</v>
      </c>
      <c r="E985" s="39">
        <v>3100.0819999999999</v>
      </c>
      <c r="F985" s="39">
        <v>2325.0614999999998</v>
      </c>
      <c r="G985" s="90">
        <v>-775.02050000000008</v>
      </c>
      <c r="H985" s="170">
        <v>0.25</v>
      </c>
      <c r="I985" s="7" t="s">
        <v>18</v>
      </c>
      <c r="J985" s="7" t="s">
        <v>24</v>
      </c>
      <c r="K985" s="171">
        <v>46233</v>
      </c>
      <c r="L985" s="171">
        <v>46236</v>
      </c>
    </row>
    <row r="986" spans="1:12">
      <c r="A986" s="7">
        <v>7341</v>
      </c>
      <c r="B986" s="7">
        <v>4237</v>
      </c>
      <c r="C986" s="7">
        <v>7790895003325</v>
      </c>
      <c r="D986" s="7" t="s">
        <v>710</v>
      </c>
      <c r="E986" s="39">
        <v>3100.0819999999999</v>
      </c>
      <c r="F986" s="39">
        <v>2325.0614999999998</v>
      </c>
      <c r="G986" s="90">
        <v>-775.02050000000008</v>
      </c>
      <c r="H986" s="170">
        <v>0.25</v>
      </c>
      <c r="I986" s="7" t="s">
        <v>18</v>
      </c>
      <c r="J986" s="7" t="s">
        <v>24</v>
      </c>
      <c r="K986" s="171">
        <v>46233</v>
      </c>
      <c r="L986" s="171">
        <v>46236</v>
      </c>
    </row>
    <row r="987" spans="1:12">
      <c r="A987" s="7">
        <v>7413</v>
      </c>
      <c r="B987" s="7">
        <v>4231</v>
      </c>
      <c r="C987" s="7">
        <v>7790895003288</v>
      </c>
      <c r="D987" s="7" t="s">
        <v>711</v>
      </c>
      <c r="E987" s="39">
        <v>3100.0819999999999</v>
      </c>
      <c r="F987" s="39">
        <v>2325.0614999999998</v>
      </c>
      <c r="G987" s="90">
        <v>-775.02050000000008</v>
      </c>
      <c r="H987" s="170">
        <v>0.25</v>
      </c>
      <c r="I987" s="7" t="s">
        <v>18</v>
      </c>
      <c r="J987" s="7" t="s">
        <v>24</v>
      </c>
      <c r="K987" s="171">
        <v>46233</v>
      </c>
      <c r="L987" s="171">
        <v>46236</v>
      </c>
    </row>
    <row r="988" spans="1:12">
      <c r="A988" s="7">
        <v>7479</v>
      </c>
      <c r="B988" s="7">
        <v>4233</v>
      </c>
      <c r="C988" s="7">
        <v>7790895003295</v>
      </c>
      <c r="D988" s="7" t="s">
        <v>712</v>
      </c>
      <c r="E988" s="39">
        <v>3100.0819999999999</v>
      </c>
      <c r="F988" s="39">
        <v>2325.0614999999998</v>
      </c>
      <c r="G988" s="90">
        <v>-775.02050000000008</v>
      </c>
      <c r="H988" s="170">
        <v>0.25</v>
      </c>
      <c r="I988" s="7" t="s">
        <v>18</v>
      </c>
      <c r="J988" s="7" t="s">
        <v>24</v>
      </c>
      <c r="K988" s="171">
        <v>46233</v>
      </c>
      <c r="L988" s="171">
        <v>46236</v>
      </c>
    </row>
    <row r="989" spans="1:12">
      <c r="A989" s="7">
        <v>8771</v>
      </c>
      <c r="B989" s="7">
        <v>4240</v>
      </c>
      <c r="C989" s="7">
        <v>7790895004971</v>
      </c>
      <c r="D989" s="7" t="s">
        <v>713</v>
      </c>
      <c r="E989" s="39">
        <v>3100.0819999999999</v>
      </c>
      <c r="F989" s="39">
        <v>2325.0614999999998</v>
      </c>
      <c r="G989" s="90">
        <v>-775.02050000000008</v>
      </c>
      <c r="H989" s="170">
        <v>0.25</v>
      </c>
      <c r="I989" s="7" t="s">
        <v>18</v>
      </c>
      <c r="J989" s="7" t="s">
        <v>24</v>
      </c>
      <c r="K989" s="171">
        <v>46233</v>
      </c>
      <c r="L989" s="171">
        <v>46236</v>
      </c>
    </row>
    <row r="990" spans="1:12">
      <c r="A990" s="7">
        <v>667114</v>
      </c>
      <c r="B990" s="7">
        <v>6690</v>
      </c>
      <c r="C990" s="7">
        <v>7898953990430</v>
      </c>
      <c r="D990" s="7" t="s">
        <v>717</v>
      </c>
      <c r="E990" s="39">
        <v>3500.0219999999999</v>
      </c>
      <c r="F990" s="39">
        <v>2625.0164999999997</v>
      </c>
      <c r="G990" s="90">
        <v>-875.00550000000021</v>
      </c>
      <c r="H990" s="170">
        <v>0.25</v>
      </c>
      <c r="I990" s="7" t="s">
        <v>18</v>
      </c>
      <c r="J990" s="7" t="s">
        <v>24</v>
      </c>
      <c r="K990" s="171">
        <v>46233</v>
      </c>
      <c r="L990" s="171">
        <v>46236</v>
      </c>
    </row>
    <row r="991" spans="1:12">
      <c r="K991"/>
      <c r="L991"/>
    </row>
  </sheetData>
  <sortState xmlns:xlrd2="http://schemas.microsoft.com/office/spreadsheetml/2017/richdata2" ref="A2:M216">
    <sortCondition ref="M2:M2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FC24-9708-4FD7-BF68-F1B68EF83719}">
  <dimension ref="A1:N302"/>
  <sheetViews>
    <sheetView workbookViewId="0">
      <selection activeCell="D296" sqref="D296"/>
    </sheetView>
  </sheetViews>
  <sheetFormatPr baseColWidth="10" defaultRowHeight="15"/>
  <cols>
    <col min="1" max="1" width="7.42578125" bestFit="1" customWidth="1"/>
    <col min="2" max="2" width="10.85546875" style="15" bestFit="1" customWidth="1"/>
    <col min="3" max="3" width="16.7109375" bestFit="1" customWidth="1"/>
    <col min="4" max="4" width="50.28515625" bestFit="1" customWidth="1"/>
    <col min="6" max="6" width="11.7109375" bestFit="1" customWidth="1"/>
    <col min="7" max="7" width="10.7109375" style="15" bestFit="1" customWidth="1"/>
    <col min="8" max="8" width="11.42578125" style="15"/>
    <col min="9" max="9" width="30.5703125" bestFit="1" customWidth="1"/>
    <col min="13" max="13" width="32.28515625" style="15" bestFit="1" customWidth="1"/>
  </cols>
  <sheetData>
    <row r="1" spans="1:13" s="9" customFormat="1" ht="15.75" thickBot="1">
      <c r="A1" s="8" t="s">
        <v>0</v>
      </c>
      <c r="B1" s="16" t="s">
        <v>1</v>
      </c>
      <c r="C1" s="8" t="s">
        <v>2</v>
      </c>
      <c r="D1" s="8" t="s">
        <v>3</v>
      </c>
      <c r="E1" s="10" t="s">
        <v>4</v>
      </c>
      <c r="F1" s="8" t="s">
        <v>9</v>
      </c>
      <c r="G1" s="14" t="s">
        <v>10</v>
      </c>
      <c r="H1" s="14" t="s">
        <v>11</v>
      </c>
      <c r="I1" s="8" t="s">
        <v>61</v>
      </c>
      <c r="J1" s="8" t="s">
        <v>13</v>
      </c>
      <c r="K1" s="8" t="s">
        <v>14</v>
      </c>
      <c r="M1" s="116"/>
    </row>
    <row r="2" spans="1:13">
      <c r="A2" s="70">
        <v>667070</v>
      </c>
      <c r="B2" s="7">
        <v>640007</v>
      </c>
      <c r="C2" s="71">
        <v>7791337010598</v>
      </c>
      <c r="D2" s="39" t="s">
        <v>1383</v>
      </c>
      <c r="E2" s="39">
        <v>4499</v>
      </c>
      <c r="F2" s="72" t="s">
        <v>630</v>
      </c>
      <c r="G2" s="61">
        <v>46205</v>
      </c>
      <c r="H2" s="61">
        <v>46234</v>
      </c>
      <c r="I2" s="39"/>
    </row>
    <row r="3" spans="1:13">
      <c r="A3" s="70">
        <v>665587</v>
      </c>
      <c r="B3" s="7">
        <v>954407</v>
      </c>
      <c r="C3" s="71">
        <v>7791337009608</v>
      </c>
      <c r="D3" s="39" t="s">
        <v>1381</v>
      </c>
      <c r="E3" s="39">
        <v>7749</v>
      </c>
      <c r="F3" s="72" t="s">
        <v>630</v>
      </c>
      <c r="G3" s="61">
        <v>46205</v>
      </c>
      <c r="H3" s="61">
        <v>46234</v>
      </c>
      <c r="I3" s="39"/>
    </row>
    <row r="4" spans="1:13">
      <c r="A4" s="70">
        <v>667072</v>
      </c>
      <c r="B4" s="7">
        <v>640005</v>
      </c>
      <c r="C4" s="71">
        <v>7791337010574</v>
      </c>
      <c r="D4" s="39" t="s">
        <v>1385</v>
      </c>
      <c r="E4" s="39">
        <v>4499</v>
      </c>
      <c r="F4" s="72" t="s">
        <v>630</v>
      </c>
      <c r="G4" s="61">
        <v>46205</v>
      </c>
      <c r="H4" s="61">
        <v>46234</v>
      </c>
      <c r="I4" s="39"/>
    </row>
    <row r="5" spans="1:13">
      <c r="A5" s="70">
        <v>667071</v>
      </c>
      <c r="B5" s="7">
        <v>640006</v>
      </c>
      <c r="C5" s="71">
        <v>7791337010581</v>
      </c>
      <c r="D5" s="39" t="s">
        <v>1384</v>
      </c>
      <c r="E5" s="39">
        <v>4499</v>
      </c>
      <c r="F5" s="72" t="s">
        <v>630</v>
      </c>
      <c r="G5" s="61">
        <v>46205</v>
      </c>
      <c r="H5" s="61">
        <v>46234</v>
      </c>
      <c r="I5" s="39"/>
    </row>
    <row r="6" spans="1:13">
      <c r="A6" s="70">
        <v>666255</v>
      </c>
      <c r="B6" s="7">
        <v>954606</v>
      </c>
      <c r="C6" s="71">
        <v>7791337009868</v>
      </c>
      <c r="D6" s="39" t="s">
        <v>1379</v>
      </c>
      <c r="E6" s="39">
        <v>7749</v>
      </c>
      <c r="F6" s="72" t="s">
        <v>630</v>
      </c>
      <c r="G6" s="61">
        <v>46205</v>
      </c>
      <c r="H6" s="61">
        <v>46234</v>
      </c>
      <c r="I6" s="39"/>
    </row>
    <row r="7" spans="1:13">
      <c r="A7" s="70">
        <v>666256</v>
      </c>
      <c r="B7" s="7">
        <v>954501</v>
      </c>
      <c r="C7" s="71">
        <v>7791337009882</v>
      </c>
      <c r="D7" s="39" t="s">
        <v>1380</v>
      </c>
      <c r="E7" s="39">
        <v>7749</v>
      </c>
      <c r="F7" s="72" t="s">
        <v>630</v>
      </c>
      <c r="G7" s="61">
        <v>46205</v>
      </c>
      <c r="H7" s="61">
        <v>46234</v>
      </c>
      <c r="I7" s="39"/>
    </row>
    <row r="8" spans="1:13">
      <c r="A8" s="70">
        <v>667073</v>
      </c>
      <c r="B8" s="7">
        <v>640008</v>
      </c>
      <c r="C8" s="71">
        <v>7791337010604</v>
      </c>
      <c r="D8" s="39" t="s">
        <v>1382</v>
      </c>
      <c r="E8" s="39">
        <v>4499</v>
      </c>
      <c r="F8" s="72" t="s">
        <v>630</v>
      </c>
      <c r="G8" s="61">
        <v>46205</v>
      </c>
      <c r="H8" s="61">
        <v>46234</v>
      </c>
      <c r="I8" s="39"/>
    </row>
    <row r="9" spans="1:13">
      <c r="A9" s="70">
        <v>665852</v>
      </c>
      <c r="B9" s="7">
        <v>615000</v>
      </c>
      <c r="C9" s="71">
        <v>7791337061507</v>
      </c>
      <c r="D9" s="39" t="s">
        <v>1409</v>
      </c>
      <c r="E9" s="39">
        <v>7699</v>
      </c>
      <c r="F9" s="72" t="s">
        <v>630</v>
      </c>
      <c r="G9" s="61">
        <v>46205</v>
      </c>
      <c r="H9" s="61">
        <v>46234</v>
      </c>
      <c r="I9" s="39"/>
    </row>
    <row r="10" spans="1:13">
      <c r="A10" s="70">
        <v>665851</v>
      </c>
      <c r="B10" s="7">
        <v>614900</v>
      </c>
      <c r="C10" s="71">
        <v>7791337061491</v>
      </c>
      <c r="D10" s="39" t="s">
        <v>1408</v>
      </c>
      <c r="E10" s="39">
        <v>7699</v>
      </c>
      <c r="F10" s="72" t="s">
        <v>630</v>
      </c>
      <c r="G10" s="61">
        <v>46205</v>
      </c>
      <c r="H10" s="61">
        <v>46234</v>
      </c>
      <c r="I10" s="39"/>
    </row>
    <row r="11" spans="1:13">
      <c r="A11" s="70">
        <v>663330</v>
      </c>
      <c r="B11" s="7">
        <v>613600</v>
      </c>
      <c r="C11" s="71">
        <v>7791337060913</v>
      </c>
      <c r="D11" s="39" t="s">
        <v>1405</v>
      </c>
      <c r="E11" s="39">
        <v>4999</v>
      </c>
      <c r="F11" s="72" t="s">
        <v>630</v>
      </c>
      <c r="G11" s="61">
        <v>46205</v>
      </c>
      <c r="H11" s="61">
        <v>46234</v>
      </c>
      <c r="I11" s="39"/>
    </row>
    <row r="12" spans="1:13">
      <c r="A12" s="70">
        <v>663332</v>
      </c>
      <c r="B12" s="7">
        <v>609400</v>
      </c>
      <c r="C12" s="71">
        <v>7791337060944</v>
      </c>
      <c r="D12" s="39" t="s">
        <v>1406</v>
      </c>
      <c r="E12" s="39">
        <v>4999</v>
      </c>
      <c r="F12" s="72" t="s">
        <v>630</v>
      </c>
      <c r="G12" s="61">
        <v>46205</v>
      </c>
      <c r="H12" s="61">
        <v>46234</v>
      </c>
      <c r="I12" s="39"/>
    </row>
    <row r="13" spans="1:13">
      <c r="A13" s="70">
        <v>663331</v>
      </c>
      <c r="B13" s="7">
        <v>613800</v>
      </c>
      <c r="C13" s="71">
        <v>7791337060937</v>
      </c>
      <c r="D13" s="39" t="s">
        <v>1407</v>
      </c>
      <c r="E13" s="39">
        <v>4999</v>
      </c>
      <c r="F13" s="72" t="s">
        <v>630</v>
      </c>
      <c r="G13" s="61">
        <v>46205</v>
      </c>
      <c r="H13" s="61">
        <v>46234</v>
      </c>
      <c r="I13" s="39"/>
    </row>
    <row r="14" spans="1:13">
      <c r="A14" s="70">
        <v>661211</v>
      </c>
      <c r="B14" s="7">
        <v>614300</v>
      </c>
      <c r="C14" s="71">
        <v>7791337006539</v>
      </c>
      <c r="D14" s="39" t="s">
        <v>1398</v>
      </c>
      <c r="E14" s="39">
        <v>2749</v>
      </c>
      <c r="F14" s="72" t="s">
        <v>630</v>
      </c>
      <c r="G14" s="61">
        <v>46205</v>
      </c>
      <c r="H14" s="61">
        <v>46234</v>
      </c>
      <c r="I14" s="39"/>
    </row>
    <row r="15" spans="1:13">
      <c r="A15" s="70">
        <v>665875</v>
      </c>
      <c r="B15" s="7">
        <v>615100</v>
      </c>
      <c r="C15" s="71">
        <v>7791337009851</v>
      </c>
      <c r="D15" s="39" t="s">
        <v>1400</v>
      </c>
      <c r="E15" s="39">
        <v>5250</v>
      </c>
      <c r="F15" s="72" t="s">
        <v>630</v>
      </c>
      <c r="G15" s="61">
        <v>46205</v>
      </c>
      <c r="H15" s="61">
        <v>46234</v>
      </c>
      <c r="I15" s="39"/>
    </row>
    <row r="16" spans="1:13">
      <c r="A16" s="70">
        <v>663353</v>
      </c>
      <c r="B16" s="7">
        <v>614200</v>
      </c>
      <c r="C16" s="71">
        <v>7791337060999</v>
      </c>
      <c r="D16" s="39" t="s">
        <v>1397</v>
      </c>
      <c r="E16" s="39">
        <v>2749</v>
      </c>
      <c r="F16" s="72" t="s">
        <v>630</v>
      </c>
      <c r="G16" s="61">
        <v>46205</v>
      </c>
      <c r="H16" s="61">
        <v>46234</v>
      </c>
      <c r="I16" s="39"/>
    </row>
    <row r="17" spans="1:9">
      <c r="A17" s="70">
        <v>665853</v>
      </c>
      <c r="B17" s="7">
        <v>615200</v>
      </c>
      <c r="C17" s="71">
        <v>7791337009844</v>
      </c>
      <c r="D17" s="39" t="s">
        <v>1399</v>
      </c>
      <c r="E17" s="39">
        <v>5250</v>
      </c>
      <c r="F17" s="72" t="s">
        <v>630</v>
      </c>
      <c r="G17" s="61">
        <v>46205</v>
      </c>
      <c r="H17" s="61">
        <v>46234</v>
      </c>
      <c r="I17" s="39"/>
    </row>
    <row r="18" spans="1:9">
      <c r="A18" s="70">
        <v>658653</v>
      </c>
      <c r="B18" s="7">
        <v>138702</v>
      </c>
      <c r="C18" s="71">
        <v>7791337001558</v>
      </c>
      <c r="D18" s="39" t="s">
        <v>1416</v>
      </c>
      <c r="E18" s="39">
        <v>1900</v>
      </c>
      <c r="F18" s="72" t="s">
        <v>630</v>
      </c>
      <c r="G18" s="61">
        <v>46205</v>
      </c>
      <c r="H18" s="61">
        <v>46234</v>
      </c>
      <c r="I18" s="39"/>
    </row>
    <row r="19" spans="1:9">
      <c r="A19" s="70">
        <v>658652</v>
      </c>
      <c r="B19" s="7">
        <v>138701</v>
      </c>
      <c r="C19" s="71">
        <v>7791337003606</v>
      </c>
      <c r="D19" s="39" t="s">
        <v>1415</v>
      </c>
      <c r="E19" s="39">
        <v>1900</v>
      </c>
      <c r="F19" s="72" t="s">
        <v>630</v>
      </c>
      <c r="G19" s="61">
        <v>46205</v>
      </c>
      <c r="H19" s="61">
        <v>46234</v>
      </c>
      <c r="I19" s="39"/>
    </row>
    <row r="20" spans="1:9">
      <c r="A20" s="70">
        <v>666938</v>
      </c>
      <c r="B20" s="7">
        <v>610027</v>
      </c>
      <c r="C20" s="71">
        <v>7791337010291</v>
      </c>
      <c r="D20" s="39" t="s">
        <v>1396</v>
      </c>
      <c r="E20" s="39">
        <v>2700</v>
      </c>
      <c r="F20" s="72" t="s">
        <v>630</v>
      </c>
      <c r="G20" s="61">
        <v>46205</v>
      </c>
      <c r="H20" s="61">
        <v>46234</v>
      </c>
      <c r="I20" s="39"/>
    </row>
    <row r="21" spans="1:9">
      <c r="A21" s="70">
        <v>666937</v>
      </c>
      <c r="B21" s="7">
        <v>610012</v>
      </c>
      <c r="C21" s="71">
        <v>7791337010413</v>
      </c>
      <c r="D21" s="39" t="s">
        <v>1391</v>
      </c>
      <c r="E21" s="39">
        <v>749</v>
      </c>
      <c r="F21" s="72" t="s">
        <v>630</v>
      </c>
      <c r="G21" s="61">
        <v>46205</v>
      </c>
      <c r="H21" s="61">
        <v>46234</v>
      </c>
      <c r="I21" s="39"/>
    </row>
    <row r="22" spans="1:9">
      <c r="A22" s="70">
        <v>666904</v>
      </c>
      <c r="B22" s="7">
        <v>610028</v>
      </c>
      <c r="C22" s="71">
        <v>7791337010451</v>
      </c>
      <c r="D22" s="39" t="s">
        <v>1394</v>
      </c>
      <c r="E22" s="39">
        <v>2700</v>
      </c>
      <c r="F22" s="72" t="s">
        <v>630</v>
      </c>
      <c r="G22" s="61">
        <v>46205</v>
      </c>
      <c r="H22" s="61">
        <v>46234</v>
      </c>
      <c r="I22" s="39"/>
    </row>
    <row r="23" spans="1:9">
      <c r="A23" s="70">
        <v>666874</v>
      </c>
      <c r="B23" s="7">
        <v>610021</v>
      </c>
      <c r="C23" s="71">
        <v>7791337010185</v>
      </c>
      <c r="D23" s="39" t="s">
        <v>1402</v>
      </c>
      <c r="E23" s="39">
        <v>1500</v>
      </c>
      <c r="F23" s="72" t="s">
        <v>630</v>
      </c>
      <c r="G23" s="61">
        <v>46205</v>
      </c>
      <c r="H23" s="61">
        <v>46234</v>
      </c>
      <c r="I23" s="39"/>
    </row>
    <row r="24" spans="1:9">
      <c r="A24" s="70">
        <v>666873</v>
      </c>
      <c r="B24" s="7">
        <v>610022</v>
      </c>
      <c r="C24" s="71">
        <v>7791337010192</v>
      </c>
      <c r="D24" s="39" t="s">
        <v>1401</v>
      </c>
      <c r="E24" s="39">
        <v>1500</v>
      </c>
      <c r="F24" s="72" t="s">
        <v>630</v>
      </c>
      <c r="G24" s="61">
        <v>46205</v>
      </c>
      <c r="H24" s="61">
        <v>46234</v>
      </c>
      <c r="I24" s="39"/>
    </row>
    <row r="25" spans="1:9">
      <c r="A25" s="70">
        <v>666907</v>
      </c>
      <c r="B25" s="7">
        <v>610023</v>
      </c>
      <c r="C25" s="71">
        <v>7791337010338</v>
      </c>
      <c r="D25" s="39" t="s">
        <v>1404</v>
      </c>
      <c r="E25" s="39">
        <v>1499</v>
      </c>
      <c r="F25" s="72" t="s">
        <v>630</v>
      </c>
      <c r="G25" s="61">
        <v>46205</v>
      </c>
      <c r="H25" s="61">
        <v>46234</v>
      </c>
      <c r="I25" s="39"/>
    </row>
    <row r="26" spans="1:9">
      <c r="A26" s="70">
        <v>666905</v>
      </c>
      <c r="B26" s="7">
        <v>610026</v>
      </c>
      <c r="C26" s="71">
        <v>7791337010444</v>
      </c>
      <c r="D26" s="39" t="s">
        <v>1395</v>
      </c>
      <c r="E26" s="39">
        <v>2700</v>
      </c>
      <c r="F26" s="72" t="s">
        <v>630</v>
      </c>
      <c r="G26" s="61">
        <v>46205</v>
      </c>
      <c r="H26" s="61">
        <v>46234</v>
      </c>
      <c r="I26" s="39"/>
    </row>
    <row r="27" spans="1:9">
      <c r="A27" s="70">
        <v>666872</v>
      </c>
      <c r="B27" s="7">
        <v>610030</v>
      </c>
      <c r="C27" s="71">
        <v>7791337010727</v>
      </c>
      <c r="D27" s="39" t="s">
        <v>1389</v>
      </c>
      <c r="E27" s="39">
        <v>749</v>
      </c>
      <c r="F27" s="72" t="s">
        <v>630</v>
      </c>
      <c r="G27" s="61">
        <v>46205</v>
      </c>
      <c r="H27" s="61">
        <v>46234</v>
      </c>
      <c r="I27" s="39"/>
    </row>
    <row r="28" spans="1:9">
      <c r="A28" s="70">
        <v>666906</v>
      </c>
      <c r="B28" s="7">
        <v>610024</v>
      </c>
      <c r="C28" s="71">
        <v>7791337010321</v>
      </c>
      <c r="D28" s="39" t="s">
        <v>1403</v>
      </c>
      <c r="E28" s="39">
        <v>1499</v>
      </c>
      <c r="F28" s="72" t="s">
        <v>630</v>
      </c>
      <c r="G28" s="61">
        <v>46205</v>
      </c>
      <c r="H28" s="61">
        <v>46234</v>
      </c>
      <c r="I28" s="39"/>
    </row>
    <row r="29" spans="1:9">
      <c r="A29" s="70">
        <v>666877</v>
      </c>
      <c r="B29" s="7">
        <v>610003</v>
      </c>
      <c r="C29" s="71">
        <v>7791337010376</v>
      </c>
      <c r="D29" s="39" t="s">
        <v>1412</v>
      </c>
      <c r="E29" s="39">
        <v>1999</v>
      </c>
      <c r="F29" s="72" t="s">
        <v>630</v>
      </c>
      <c r="G29" s="61">
        <v>46205</v>
      </c>
      <c r="H29" s="61">
        <v>46234</v>
      </c>
      <c r="I29" s="39"/>
    </row>
    <row r="30" spans="1:9">
      <c r="A30" s="70">
        <v>666876</v>
      </c>
      <c r="B30" s="7">
        <v>610002</v>
      </c>
      <c r="C30" s="71">
        <v>7791337010215</v>
      </c>
      <c r="D30" s="39" t="s">
        <v>1411</v>
      </c>
      <c r="E30" s="39">
        <v>1999</v>
      </c>
      <c r="F30" s="72" t="s">
        <v>630</v>
      </c>
      <c r="G30" s="61">
        <v>46205</v>
      </c>
      <c r="H30" s="61">
        <v>46234</v>
      </c>
      <c r="I30" s="39"/>
    </row>
    <row r="31" spans="1:9">
      <c r="A31" s="70">
        <v>666875</v>
      </c>
      <c r="B31" s="7">
        <v>610001</v>
      </c>
      <c r="C31" s="71">
        <v>7791337010369</v>
      </c>
      <c r="D31" s="39" t="s">
        <v>1410</v>
      </c>
      <c r="E31" s="39">
        <v>1999</v>
      </c>
      <c r="F31" s="72" t="s">
        <v>630</v>
      </c>
      <c r="G31" s="61">
        <v>46205</v>
      </c>
      <c r="H31" s="61">
        <v>46234</v>
      </c>
      <c r="I31" s="39"/>
    </row>
    <row r="32" spans="1:9">
      <c r="A32" s="70">
        <v>666929</v>
      </c>
      <c r="B32" s="7">
        <v>610017</v>
      </c>
      <c r="C32" s="71">
        <v>7791337010314</v>
      </c>
      <c r="D32" s="39" t="s">
        <v>1393</v>
      </c>
      <c r="E32" s="39">
        <v>749</v>
      </c>
      <c r="F32" s="72" t="s">
        <v>630</v>
      </c>
      <c r="G32" s="61">
        <v>46205</v>
      </c>
      <c r="H32" s="61">
        <v>46234</v>
      </c>
      <c r="I32" s="39"/>
    </row>
    <row r="33" spans="1:9">
      <c r="A33" s="70">
        <v>666928</v>
      </c>
      <c r="B33" s="7">
        <v>610018</v>
      </c>
      <c r="C33" s="71">
        <v>7791337010307</v>
      </c>
      <c r="D33" s="39" t="s">
        <v>1392</v>
      </c>
      <c r="E33" s="39">
        <v>749</v>
      </c>
      <c r="F33" s="72" t="s">
        <v>630</v>
      </c>
      <c r="G33" s="61">
        <v>46205</v>
      </c>
      <c r="H33" s="61">
        <v>46234</v>
      </c>
      <c r="I33" s="39"/>
    </row>
    <row r="34" spans="1:9">
      <c r="A34" s="70">
        <v>666930</v>
      </c>
      <c r="B34" s="7">
        <v>610016</v>
      </c>
      <c r="C34" s="71">
        <v>7791337010437</v>
      </c>
      <c r="D34" s="39" t="s">
        <v>1388</v>
      </c>
      <c r="E34" s="39">
        <v>749</v>
      </c>
      <c r="F34" s="72" t="s">
        <v>630</v>
      </c>
      <c r="G34" s="61">
        <v>46205</v>
      </c>
      <c r="H34" s="61">
        <v>46234</v>
      </c>
      <c r="I34" s="39"/>
    </row>
    <row r="35" spans="1:9">
      <c r="A35" s="70">
        <v>666932</v>
      </c>
      <c r="B35" s="7">
        <v>610014</v>
      </c>
      <c r="C35" s="71">
        <v>7791337010260</v>
      </c>
      <c r="D35" s="39" t="s">
        <v>1387</v>
      </c>
      <c r="E35" s="39">
        <v>749</v>
      </c>
      <c r="F35" s="72" t="s">
        <v>630</v>
      </c>
      <c r="G35" s="61">
        <v>46205</v>
      </c>
      <c r="H35" s="61">
        <v>46234</v>
      </c>
      <c r="I35" s="39"/>
    </row>
    <row r="36" spans="1:9">
      <c r="A36" s="70">
        <v>666931</v>
      </c>
      <c r="B36" s="7">
        <v>610015</v>
      </c>
      <c r="C36" s="71">
        <v>7791337010208</v>
      </c>
      <c r="D36" s="39" t="s">
        <v>1386</v>
      </c>
      <c r="E36" s="39">
        <v>749</v>
      </c>
      <c r="F36" s="72" t="s">
        <v>630</v>
      </c>
      <c r="G36" s="61">
        <v>46205</v>
      </c>
      <c r="H36" s="61">
        <v>46234</v>
      </c>
      <c r="I36" s="39"/>
    </row>
    <row r="37" spans="1:9">
      <c r="A37" s="70">
        <v>666911</v>
      </c>
      <c r="B37" s="7">
        <v>610005</v>
      </c>
      <c r="C37" s="71">
        <v>7791337010468</v>
      </c>
      <c r="D37" s="39" t="s">
        <v>1413</v>
      </c>
      <c r="E37" s="39">
        <v>1999</v>
      </c>
      <c r="F37" s="72" t="s">
        <v>630</v>
      </c>
      <c r="G37" s="61">
        <v>46205</v>
      </c>
      <c r="H37" s="61">
        <v>46234</v>
      </c>
      <c r="I37" s="39"/>
    </row>
    <row r="38" spans="1:9">
      <c r="A38" s="70">
        <v>666913</v>
      </c>
      <c r="B38" s="7">
        <v>610004</v>
      </c>
      <c r="C38" s="71">
        <v>7791337010475</v>
      </c>
      <c r="D38" s="39" t="s">
        <v>1414</v>
      </c>
      <c r="E38" s="39">
        <v>1999</v>
      </c>
      <c r="F38" s="72" t="s">
        <v>630</v>
      </c>
      <c r="G38" s="61">
        <v>46205</v>
      </c>
      <c r="H38" s="61">
        <v>46234</v>
      </c>
      <c r="I38" s="39"/>
    </row>
    <row r="39" spans="1:9">
      <c r="A39" s="70">
        <v>666936</v>
      </c>
      <c r="B39" s="7">
        <v>610013</v>
      </c>
      <c r="C39" s="71">
        <v>7791337010420</v>
      </c>
      <c r="D39" s="39" t="s">
        <v>1390</v>
      </c>
      <c r="E39" s="39">
        <v>749</v>
      </c>
      <c r="F39" s="72" t="s">
        <v>630</v>
      </c>
      <c r="G39" s="61">
        <v>46205</v>
      </c>
      <c r="H39" s="61">
        <v>46234</v>
      </c>
      <c r="I39" s="39"/>
    </row>
    <row r="40" spans="1:9">
      <c r="A40" s="70">
        <v>659762</v>
      </c>
      <c r="B40" s="7">
        <v>937712</v>
      </c>
      <c r="C40" s="71">
        <v>7791337004191</v>
      </c>
      <c r="D40" s="39" t="s">
        <v>1378</v>
      </c>
      <c r="E40" s="39">
        <v>4500</v>
      </c>
      <c r="F40" s="72" t="s">
        <v>630</v>
      </c>
      <c r="G40" s="61">
        <v>46205</v>
      </c>
      <c r="H40" s="61">
        <v>46234</v>
      </c>
      <c r="I40" s="39"/>
    </row>
    <row r="41" spans="1:9">
      <c r="A41" s="70">
        <v>666529</v>
      </c>
      <c r="B41" s="7">
        <v>656119</v>
      </c>
      <c r="C41" s="71">
        <v>7791337009981</v>
      </c>
      <c r="D41" s="39" t="s">
        <v>1376</v>
      </c>
      <c r="E41" s="39">
        <v>2999</v>
      </c>
      <c r="F41" s="72" t="s">
        <v>630</v>
      </c>
      <c r="G41" s="61">
        <v>46205</v>
      </c>
      <c r="H41" s="61">
        <v>46234</v>
      </c>
      <c r="I41" s="39"/>
    </row>
    <row r="42" spans="1:9">
      <c r="A42" s="70">
        <v>666514</v>
      </c>
      <c r="B42" s="7">
        <v>656112</v>
      </c>
      <c r="C42" s="71">
        <v>7791337009998</v>
      </c>
      <c r="D42" s="39" t="s">
        <v>1377</v>
      </c>
      <c r="E42" s="39">
        <v>2999</v>
      </c>
      <c r="F42" s="72" t="s">
        <v>630</v>
      </c>
      <c r="G42" s="61">
        <v>46205</v>
      </c>
      <c r="H42" s="61">
        <v>46234</v>
      </c>
      <c r="I42" s="39"/>
    </row>
    <row r="43" spans="1:9">
      <c r="A43" s="70">
        <v>666512</v>
      </c>
      <c r="B43" s="7">
        <v>656002</v>
      </c>
      <c r="C43" s="71">
        <v>7791337009943</v>
      </c>
      <c r="D43" s="39" t="s">
        <v>1375</v>
      </c>
      <c r="E43" s="39">
        <v>1850</v>
      </c>
      <c r="F43" s="72" t="s">
        <v>630</v>
      </c>
      <c r="G43" s="61">
        <v>46205</v>
      </c>
      <c r="H43" s="61">
        <v>46234</v>
      </c>
      <c r="I43" s="39"/>
    </row>
    <row r="44" spans="1:9">
      <c r="A44" s="70">
        <v>666513</v>
      </c>
      <c r="B44" s="7">
        <v>656001</v>
      </c>
      <c r="C44" s="71">
        <v>7791337009950</v>
      </c>
      <c r="D44" s="39" t="s">
        <v>1374</v>
      </c>
      <c r="E44" s="39">
        <v>1850</v>
      </c>
      <c r="F44" s="72" t="s">
        <v>630</v>
      </c>
      <c r="G44" s="61">
        <v>46205</v>
      </c>
      <c r="H44" s="61">
        <v>46234</v>
      </c>
      <c r="I44" s="39"/>
    </row>
    <row r="45" spans="1:9">
      <c r="A45" s="70">
        <v>666528</v>
      </c>
      <c r="B45" s="7">
        <v>656419</v>
      </c>
      <c r="C45" s="71">
        <v>7791337010000</v>
      </c>
      <c r="D45" s="39" t="s">
        <v>1373</v>
      </c>
      <c r="E45" s="39">
        <v>3700</v>
      </c>
      <c r="F45" s="72" t="s">
        <v>630</v>
      </c>
      <c r="G45" s="61">
        <v>46205</v>
      </c>
      <c r="H45" s="61">
        <v>46234</v>
      </c>
      <c r="I45" s="39"/>
    </row>
    <row r="46" spans="1:9">
      <c r="A46" s="70">
        <v>666527</v>
      </c>
      <c r="B46" s="7">
        <v>656412</v>
      </c>
      <c r="C46" s="71">
        <v>7791337010017</v>
      </c>
      <c r="D46" s="39" t="s">
        <v>1372</v>
      </c>
      <c r="E46" s="39">
        <v>3700</v>
      </c>
      <c r="F46" s="72" t="s">
        <v>630</v>
      </c>
      <c r="G46" s="61">
        <v>46205</v>
      </c>
      <c r="H46" s="61">
        <v>46234</v>
      </c>
      <c r="I46" s="39"/>
    </row>
    <row r="47" spans="1:9">
      <c r="A47" s="17"/>
      <c r="B47" s="18"/>
      <c r="C47" s="19"/>
      <c r="D47" s="17"/>
      <c r="E47" s="20"/>
      <c r="F47" s="17"/>
      <c r="G47" s="21"/>
      <c r="H47" s="21"/>
      <c r="I47" s="47"/>
    </row>
    <row r="48" spans="1:9">
      <c r="A48" s="17"/>
      <c r="B48" s="18"/>
      <c r="C48" s="19"/>
      <c r="D48" s="17"/>
      <c r="E48" s="20"/>
      <c r="F48" s="17"/>
      <c r="G48" s="21"/>
      <c r="H48" s="21"/>
      <c r="I48" s="47"/>
    </row>
    <row r="49" spans="1:9">
      <c r="A49" s="17"/>
      <c r="B49" s="18"/>
      <c r="C49" s="19"/>
      <c r="D49" s="17"/>
      <c r="E49" s="20"/>
      <c r="F49" s="17"/>
      <c r="G49" s="21"/>
      <c r="H49" s="21"/>
      <c r="I49" s="47"/>
    </row>
    <row r="50" spans="1:9">
      <c r="A50" s="17"/>
      <c r="B50" s="18"/>
      <c r="C50" s="19"/>
      <c r="D50" s="17"/>
      <c r="E50" s="20"/>
      <c r="F50" s="17"/>
      <c r="G50" s="21"/>
      <c r="H50" s="21"/>
      <c r="I50" s="47"/>
    </row>
    <row r="51" spans="1:9">
      <c r="A51" s="17"/>
      <c r="B51" s="18"/>
      <c r="C51" s="19"/>
      <c r="D51" s="17"/>
      <c r="E51" s="20"/>
      <c r="F51" s="17"/>
      <c r="G51" s="21"/>
      <c r="H51" s="21"/>
      <c r="I51" s="47"/>
    </row>
    <row r="52" spans="1:9">
      <c r="A52" s="17"/>
      <c r="B52" s="18"/>
      <c r="C52" s="19"/>
      <c r="D52" s="17"/>
      <c r="E52" s="20"/>
      <c r="F52" s="17"/>
      <c r="G52" s="21"/>
      <c r="H52" s="21"/>
      <c r="I52" s="47"/>
    </row>
    <row r="53" spans="1:9">
      <c r="A53" s="17"/>
      <c r="B53" s="18"/>
      <c r="C53" s="19"/>
      <c r="D53" s="17"/>
      <c r="E53" s="20"/>
      <c r="F53" s="17"/>
      <c r="G53" s="21"/>
      <c r="H53" s="21"/>
      <c r="I53" s="47"/>
    </row>
    <row r="54" spans="1:9">
      <c r="A54" s="17"/>
      <c r="B54" s="18"/>
      <c r="C54" s="19"/>
      <c r="D54" s="17"/>
      <c r="E54" s="20"/>
      <c r="F54" s="17"/>
      <c r="G54" s="21"/>
      <c r="H54" s="21"/>
      <c r="I54" s="47"/>
    </row>
    <row r="55" spans="1:9">
      <c r="A55" s="17"/>
      <c r="B55" s="18"/>
      <c r="C55" s="19"/>
      <c r="D55" s="17"/>
      <c r="E55" s="20"/>
      <c r="F55" s="17"/>
      <c r="G55" s="21"/>
      <c r="H55" s="21"/>
      <c r="I55" s="47"/>
    </row>
    <row r="56" spans="1:9">
      <c r="A56" s="17"/>
      <c r="B56" s="18"/>
      <c r="C56" s="19"/>
      <c r="D56" s="17"/>
      <c r="E56" s="20"/>
      <c r="F56" s="17"/>
      <c r="G56" s="21"/>
      <c r="H56" s="21"/>
      <c r="I56" s="47"/>
    </row>
    <row r="57" spans="1:9">
      <c r="A57" s="17"/>
      <c r="B57" s="18"/>
      <c r="C57" s="19"/>
      <c r="D57" s="17"/>
      <c r="E57" s="20"/>
      <c r="F57" s="17"/>
      <c r="G57" s="21"/>
      <c r="H57" s="21"/>
      <c r="I57" s="47"/>
    </row>
    <row r="58" spans="1:9">
      <c r="A58" s="17"/>
      <c r="B58" s="18"/>
      <c r="C58" s="19"/>
      <c r="D58" s="17"/>
      <c r="E58" s="20"/>
      <c r="F58" s="17"/>
      <c r="G58" s="21"/>
      <c r="H58" s="21"/>
      <c r="I58" s="47"/>
    </row>
    <row r="59" spans="1:9">
      <c r="A59" s="17"/>
      <c r="B59" s="18"/>
      <c r="C59" s="19"/>
      <c r="D59" s="17"/>
      <c r="E59" s="20"/>
      <c r="F59" s="17"/>
      <c r="G59" s="21"/>
      <c r="H59" s="21"/>
      <c r="I59" s="47"/>
    </row>
    <row r="60" spans="1:9">
      <c r="A60" s="17"/>
      <c r="B60" s="18"/>
      <c r="C60" s="19"/>
      <c r="D60" s="17"/>
      <c r="E60" s="20"/>
      <c r="F60" s="17"/>
      <c r="G60" s="21"/>
      <c r="H60" s="21"/>
      <c r="I60" s="47"/>
    </row>
    <row r="61" spans="1:9">
      <c r="A61" s="17"/>
      <c r="B61" s="18"/>
      <c r="C61" s="19"/>
      <c r="D61" s="17"/>
      <c r="E61" s="20"/>
      <c r="F61" s="17"/>
      <c r="G61" s="21"/>
      <c r="H61" s="21"/>
      <c r="I61" s="47"/>
    </row>
    <row r="62" spans="1:9">
      <c r="A62" s="17"/>
      <c r="B62" s="18"/>
      <c r="C62" s="19"/>
      <c r="D62" s="17"/>
      <c r="E62" s="20"/>
      <c r="F62" s="17"/>
      <c r="G62" s="21"/>
      <c r="H62" s="21"/>
      <c r="I62" s="47"/>
    </row>
    <row r="63" spans="1:9">
      <c r="A63" s="17"/>
      <c r="B63" s="18"/>
      <c r="C63" s="19"/>
      <c r="D63" s="17"/>
      <c r="E63" s="20"/>
      <c r="F63" s="17"/>
      <c r="G63" s="21"/>
      <c r="H63" s="21"/>
      <c r="I63" s="47"/>
    </row>
    <row r="64" spans="1:9">
      <c r="A64" s="17"/>
      <c r="B64" s="18"/>
      <c r="C64" s="19"/>
      <c r="D64" s="17"/>
      <c r="E64" s="20"/>
      <c r="F64" s="17"/>
      <c r="G64" s="21"/>
      <c r="H64" s="21"/>
      <c r="I64" s="47"/>
    </row>
    <row r="65" spans="1:9">
      <c r="A65" s="17"/>
      <c r="B65" s="18"/>
      <c r="C65" s="19"/>
      <c r="D65" s="17"/>
      <c r="E65" s="20"/>
      <c r="F65" s="17"/>
      <c r="G65" s="21"/>
      <c r="H65" s="21"/>
      <c r="I65" s="47"/>
    </row>
    <row r="66" spans="1:9">
      <c r="A66" s="17"/>
      <c r="B66" s="18"/>
      <c r="C66" s="19"/>
      <c r="D66" s="17"/>
      <c r="E66" s="20"/>
      <c r="F66" s="17"/>
      <c r="G66" s="21"/>
      <c r="H66" s="21"/>
      <c r="I66" s="47"/>
    </row>
    <row r="67" spans="1:9">
      <c r="A67" s="17"/>
      <c r="B67" s="18"/>
      <c r="C67" s="19"/>
      <c r="D67" s="17"/>
      <c r="E67" s="20"/>
      <c r="F67" s="17"/>
      <c r="G67" s="21"/>
      <c r="H67" s="21"/>
      <c r="I67" s="47"/>
    </row>
    <row r="68" spans="1:9">
      <c r="A68" s="17"/>
      <c r="B68" s="18"/>
      <c r="C68" s="19"/>
      <c r="D68" s="17"/>
      <c r="E68" s="20"/>
      <c r="F68" s="17"/>
      <c r="G68" s="21"/>
      <c r="H68" s="21"/>
      <c r="I68" s="47"/>
    </row>
    <row r="69" spans="1:9">
      <c r="A69" s="17"/>
      <c r="B69" s="18"/>
      <c r="C69" s="19"/>
      <c r="D69" s="17"/>
      <c r="E69" s="20"/>
      <c r="F69" s="17"/>
      <c r="G69" s="21"/>
      <c r="H69" s="21"/>
      <c r="I69" s="47"/>
    </row>
    <row r="70" spans="1:9">
      <c r="A70" s="17"/>
      <c r="B70" s="18"/>
      <c r="C70" s="19"/>
      <c r="D70" s="17"/>
      <c r="E70" s="20"/>
      <c r="F70" s="17"/>
      <c r="G70" s="21"/>
      <c r="H70" s="21"/>
      <c r="I70" s="47"/>
    </row>
    <row r="71" spans="1:9">
      <c r="A71" s="17"/>
      <c r="B71" s="18"/>
      <c r="C71" s="19"/>
      <c r="D71" s="17"/>
      <c r="E71" s="20"/>
      <c r="F71" s="17"/>
      <c r="G71" s="21"/>
      <c r="H71" s="21"/>
      <c r="I71" s="47"/>
    </row>
    <row r="72" spans="1:9">
      <c r="A72" s="17"/>
      <c r="B72" s="18"/>
      <c r="C72" s="19"/>
      <c r="D72" s="17"/>
      <c r="E72" s="20"/>
      <c r="F72" s="17"/>
      <c r="G72" s="21"/>
      <c r="H72" s="21"/>
      <c r="I72" s="47"/>
    </row>
    <row r="73" spans="1:9">
      <c r="A73" s="17"/>
      <c r="B73" s="18"/>
      <c r="C73" s="19"/>
      <c r="D73" s="17"/>
      <c r="E73" s="20"/>
      <c r="F73" s="17"/>
      <c r="G73" s="21"/>
      <c r="H73" s="21"/>
      <c r="I73" s="47"/>
    </row>
    <row r="74" spans="1:9">
      <c r="A74" s="17"/>
      <c r="B74" s="18"/>
      <c r="C74" s="19"/>
      <c r="D74" s="17"/>
      <c r="E74" s="20"/>
      <c r="F74" s="17"/>
      <c r="G74" s="21"/>
      <c r="H74" s="21"/>
      <c r="I74" s="47"/>
    </row>
    <row r="75" spans="1:9">
      <c r="A75" s="17"/>
      <c r="B75" s="18"/>
      <c r="C75" s="19"/>
      <c r="D75" s="17"/>
      <c r="E75" s="20"/>
      <c r="F75" s="17"/>
      <c r="G75" s="21"/>
      <c r="H75" s="21"/>
      <c r="I75" s="47"/>
    </row>
    <row r="76" spans="1:9">
      <c r="A76" s="17"/>
      <c r="B76" s="18"/>
      <c r="C76" s="19"/>
      <c r="D76" s="17"/>
      <c r="E76" s="20"/>
      <c r="F76" s="17"/>
      <c r="G76" s="21"/>
      <c r="H76" s="21"/>
      <c r="I76" s="47"/>
    </row>
    <row r="77" spans="1:9">
      <c r="A77" s="17"/>
      <c r="B77" s="18"/>
      <c r="C77" s="19"/>
      <c r="D77" s="17"/>
      <c r="E77" s="20"/>
      <c r="F77" s="17"/>
      <c r="G77" s="21"/>
      <c r="H77" s="21"/>
      <c r="I77" s="47"/>
    </row>
    <row r="78" spans="1:9">
      <c r="A78" s="17"/>
      <c r="B78" s="18"/>
      <c r="C78" s="19"/>
      <c r="D78" s="17"/>
      <c r="E78" s="20"/>
      <c r="F78" s="17"/>
      <c r="G78" s="21"/>
      <c r="H78" s="21"/>
      <c r="I78" s="47"/>
    </row>
    <row r="79" spans="1:9">
      <c r="A79" s="17"/>
      <c r="B79" s="18"/>
      <c r="C79" s="19"/>
      <c r="D79" s="17"/>
      <c r="E79" s="20"/>
      <c r="F79" s="17"/>
      <c r="G79" s="21"/>
      <c r="H79" s="21"/>
      <c r="I79" s="47"/>
    </row>
    <row r="80" spans="1:9">
      <c r="A80" s="40"/>
      <c r="B80" s="40"/>
      <c r="C80" s="41"/>
      <c r="D80" s="40"/>
      <c r="E80" s="42"/>
      <c r="F80" s="43"/>
      <c r="G80" s="44"/>
      <c r="H80" s="44"/>
      <c r="I80" s="47"/>
    </row>
    <row r="81" spans="1:9">
      <c r="A81" s="40"/>
      <c r="B81" s="40"/>
      <c r="C81" s="41"/>
      <c r="D81" s="40"/>
      <c r="E81" s="42"/>
      <c r="F81" s="43"/>
      <c r="G81" s="44"/>
      <c r="H81" s="44"/>
      <c r="I81" s="47"/>
    </row>
    <row r="82" spans="1:9">
      <c r="A82" s="40"/>
      <c r="B82" s="40"/>
      <c r="C82" s="41"/>
      <c r="D82" s="40"/>
      <c r="E82" s="42"/>
      <c r="F82" s="43"/>
      <c r="G82" s="44"/>
      <c r="H82" s="44"/>
      <c r="I82" s="47"/>
    </row>
    <row r="83" spans="1:9">
      <c r="A83" s="40"/>
      <c r="B83" s="40"/>
      <c r="C83" s="41"/>
      <c r="D83" s="40"/>
      <c r="E83" s="42"/>
      <c r="F83" s="43"/>
      <c r="G83" s="44"/>
      <c r="H83" s="44"/>
      <c r="I83" s="47"/>
    </row>
    <row r="84" spans="1:9">
      <c r="A84" s="40"/>
      <c r="B84" s="40"/>
      <c r="C84" s="41"/>
      <c r="D84" s="40"/>
      <c r="E84" s="42"/>
      <c r="F84" s="43"/>
      <c r="G84" s="44"/>
      <c r="H84" s="44"/>
      <c r="I84" s="47"/>
    </row>
    <row r="85" spans="1:9">
      <c r="A85" s="40"/>
      <c r="B85" s="40"/>
      <c r="C85" s="41"/>
      <c r="D85" s="40"/>
      <c r="E85" s="42"/>
      <c r="F85" s="43"/>
      <c r="G85" s="44"/>
      <c r="H85" s="44"/>
      <c r="I85" s="47"/>
    </row>
    <row r="86" spans="1:9">
      <c r="A86" s="40"/>
      <c r="B86" s="40"/>
      <c r="C86" s="41"/>
      <c r="D86" s="40"/>
      <c r="E86" s="42"/>
      <c r="F86" s="43"/>
      <c r="G86" s="44"/>
      <c r="H86" s="44"/>
      <c r="I86" s="47"/>
    </row>
    <row r="87" spans="1:9">
      <c r="A87" s="40"/>
      <c r="B87" s="40"/>
      <c r="C87" s="41"/>
      <c r="D87" s="40"/>
      <c r="E87" s="42"/>
      <c r="F87" s="43"/>
      <c r="G87" s="44"/>
      <c r="H87" s="44"/>
      <c r="I87" s="47"/>
    </row>
    <row r="88" spans="1:9">
      <c r="A88" s="40"/>
      <c r="B88" s="40"/>
      <c r="C88" s="41"/>
      <c r="D88" s="40"/>
      <c r="E88" s="42"/>
      <c r="F88" s="43"/>
      <c r="G88" s="44"/>
      <c r="H88" s="44"/>
      <c r="I88" s="47"/>
    </row>
    <row r="89" spans="1:9">
      <c r="A89" s="40"/>
      <c r="B89" s="40"/>
      <c r="C89" s="41"/>
      <c r="D89" s="40"/>
      <c r="E89" s="42"/>
      <c r="F89" s="43"/>
      <c r="G89" s="44"/>
      <c r="H89" s="44"/>
      <c r="I89" s="47"/>
    </row>
    <row r="90" spans="1:9">
      <c r="A90" s="40"/>
      <c r="B90" s="40"/>
      <c r="C90" s="41"/>
      <c r="D90" s="40"/>
      <c r="E90" s="42"/>
      <c r="F90" s="43"/>
      <c r="G90" s="44"/>
      <c r="H90" s="44"/>
      <c r="I90" s="47"/>
    </row>
    <row r="91" spans="1:9">
      <c r="A91" s="40"/>
      <c r="B91" s="40"/>
      <c r="C91" s="41"/>
      <c r="D91" s="40"/>
      <c r="E91" s="42"/>
      <c r="F91" s="43"/>
      <c r="G91" s="44"/>
      <c r="H91" s="44"/>
      <c r="I91" s="47"/>
    </row>
    <row r="92" spans="1:9">
      <c r="A92" s="40"/>
      <c r="B92" s="40"/>
      <c r="C92" s="41"/>
      <c r="D92" s="40"/>
      <c r="E92" s="42"/>
      <c r="F92" s="43"/>
      <c r="G92" s="44"/>
      <c r="H92" s="44"/>
      <c r="I92" s="47"/>
    </row>
    <row r="93" spans="1:9">
      <c r="A93" s="40"/>
      <c r="B93" s="40"/>
      <c r="C93" s="41"/>
      <c r="D93" s="40"/>
      <c r="E93" s="42"/>
      <c r="F93" s="43"/>
      <c r="G93" s="44"/>
      <c r="H93" s="44"/>
      <c r="I93" s="47"/>
    </row>
    <row r="94" spans="1:9">
      <c r="A94" s="49"/>
      <c r="B94" s="49"/>
      <c r="C94" s="50"/>
      <c r="D94" s="49"/>
      <c r="E94" s="51"/>
      <c r="F94" s="52"/>
      <c r="G94" s="53"/>
      <c r="H94" s="53"/>
      <c r="I94" s="54"/>
    </row>
    <row r="95" spans="1:9">
      <c r="A95" s="49"/>
      <c r="B95" s="49"/>
      <c r="C95" s="50"/>
      <c r="D95" s="49"/>
      <c r="E95" s="51"/>
      <c r="F95" s="52"/>
      <c r="G95" s="53"/>
      <c r="H95" s="53"/>
      <c r="I95" s="54"/>
    </row>
    <row r="96" spans="1:9">
      <c r="A96" s="49"/>
      <c r="B96" s="49"/>
      <c r="C96" s="50"/>
      <c r="D96" s="49"/>
      <c r="E96" s="51"/>
      <c r="F96" s="52"/>
      <c r="G96" s="53"/>
      <c r="H96" s="53"/>
      <c r="I96" s="54"/>
    </row>
    <row r="97" spans="1:9">
      <c r="A97" s="49"/>
      <c r="B97" s="49"/>
      <c r="C97" s="50"/>
      <c r="D97" s="49"/>
      <c r="E97" s="51"/>
      <c r="F97" s="52"/>
      <c r="G97" s="53"/>
      <c r="H97" s="53"/>
      <c r="I97" s="54"/>
    </row>
    <row r="98" spans="1:9">
      <c r="A98" s="49"/>
      <c r="B98" s="49"/>
      <c r="C98" s="50"/>
      <c r="D98" s="49"/>
      <c r="E98" s="51"/>
      <c r="F98" s="52"/>
      <c r="G98" s="53"/>
      <c r="H98" s="53"/>
      <c r="I98" s="54"/>
    </row>
    <row r="99" spans="1:9">
      <c r="A99" s="49"/>
      <c r="B99" s="49"/>
      <c r="C99" s="50"/>
      <c r="D99" s="49"/>
      <c r="E99" s="51"/>
      <c r="F99" s="52"/>
      <c r="G99" s="53"/>
      <c r="H99" s="53"/>
      <c r="I99" s="54"/>
    </row>
    <row r="100" spans="1:9">
      <c r="A100" s="49"/>
      <c r="B100" s="49"/>
      <c r="C100" s="50"/>
      <c r="D100" s="49"/>
      <c r="E100" s="51"/>
      <c r="F100" s="52"/>
      <c r="G100" s="53"/>
      <c r="H100" s="53"/>
      <c r="I100" s="54"/>
    </row>
    <row r="101" spans="1:9">
      <c r="A101" s="49"/>
      <c r="B101" s="49"/>
      <c r="C101" s="50"/>
      <c r="D101" s="49"/>
      <c r="E101" s="51"/>
      <c r="F101" s="52"/>
      <c r="G101" s="53"/>
      <c r="H101" s="53"/>
      <c r="I101" s="54"/>
    </row>
    <row r="102" spans="1:9">
      <c r="A102" s="49"/>
      <c r="B102" s="49"/>
      <c r="C102" s="50"/>
      <c r="D102" s="49"/>
      <c r="E102" s="51"/>
      <c r="F102" s="52"/>
      <c r="G102" s="53"/>
      <c r="H102" s="53"/>
      <c r="I102" s="54"/>
    </row>
    <row r="103" spans="1:9">
      <c r="A103" s="49"/>
      <c r="B103" s="49"/>
      <c r="C103" s="50"/>
      <c r="D103" s="49"/>
      <c r="E103" s="51"/>
      <c r="F103" s="52"/>
      <c r="G103" s="53"/>
      <c r="H103" s="53"/>
      <c r="I103" s="54"/>
    </row>
    <row r="104" spans="1:9">
      <c r="A104" s="49"/>
      <c r="B104" s="49"/>
      <c r="C104" s="50"/>
      <c r="D104" s="49"/>
      <c r="E104" s="51"/>
      <c r="F104" s="52"/>
      <c r="G104" s="53"/>
      <c r="H104" s="53"/>
      <c r="I104" s="54"/>
    </row>
    <row r="105" spans="1:9">
      <c r="A105" s="49"/>
      <c r="B105" s="49"/>
      <c r="C105" s="50"/>
      <c r="D105" s="49"/>
      <c r="E105" s="51"/>
      <c r="F105" s="52"/>
      <c r="G105" s="53"/>
      <c r="H105" s="53"/>
      <c r="I105" s="54"/>
    </row>
    <row r="106" spans="1:9">
      <c r="A106" s="49"/>
      <c r="B106" s="49"/>
      <c r="C106" s="50"/>
      <c r="D106" s="49"/>
      <c r="E106" s="51"/>
      <c r="F106" s="52"/>
      <c r="G106" s="53"/>
      <c r="H106" s="53"/>
      <c r="I106" s="54"/>
    </row>
    <row r="107" spans="1:9">
      <c r="A107" s="49"/>
      <c r="B107" s="49"/>
      <c r="C107" s="50"/>
      <c r="D107" s="49"/>
      <c r="E107" s="51"/>
      <c r="F107" s="52"/>
      <c r="G107" s="53"/>
      <c r="H107" s="53"/>
      <c r="I107" s="54"/>
    </row>
    <row r="108" spans="1:9">
      <c r="A108" s="49"/>
      <c r="B108" s="49"/>
      <c r="C108" s="50"/>
      <c r="D108" s="49"/>
      <c r="E108" s="51"/>
      <c r="F108" s="52"/>
      <c r="G108" s="53"/>
      <c r="H108" s="53"/>
      <c r="I108" s="54"/>
    </row>
    <row r="109" spans="1:9">
      <c r="A109" s="49"/>
      <c r="B109" s="49"/>
      <c r="C109" s="50"/>
      <c r="D109" s="49"/>
      <c r="E109" s="51"/>
      <c r="F109" s="52"/>
      <c r="G109" s="53"/>
      <c r="H109" s="53"/>
      <c r="I109" s="54"/>
    </row>
    <row r="110" spans="1:9">
      <c r="A110" s="49"/>
      <c r="B110" s="49"/>
      <c r="C110" s="50"/>
      <c r="D110" s="49"/>
      <c r="E110" s="51"/>
      <c r="F110" s="52"/>
      <c r="G110" s="53"/>
      <c r="H110" s="53"/>
      <c r="I110" s="54"/>
    </row>
    <row r="119" spans="1:13">
      <c r="A119" s="83">
        <v>1361</v>
      </c>
      <c r="B119" s="84">
        <v>2</v>
      </c>
      <c r="C119" s="83">
        <v>7790272001029</v>
      </c>
      <c r="D119" s="83" t="s">
        <v>95</v>
      </c>
      <c r="E119" s="83">
        <v>10823.88</v>
      </c>
      <c r="F119" s="83">
        <v>7576.7159999999985</v>
      </c>
      <c r="G119" s="84">
        <v>-3247.1640000000007</v>
      </c>
      <c r="H119" s="84">
        <v>0.3</v>
      </c>
      <c r="I119" s="83" t="s">
        <v>18</v>
      </c>
      <c r="J119" s="83" t="s">
        <v>94</v>
      </c>
      <c r="K119" s="83">
        <v>46206</v>
      </c>
      <c r="L119" s="83">
        <v>46234</v>
      </c>
      <c r="M119" s="84" t="s">
        <v>63</v>
      </c>
    </row>
    <row r="120" spans="1:13">
      <c r="A120" s="83">
        <v>1363</v>
      </c>
      <c r="B120" s="84">
        <v>3</v>
      </c>
      <c r="C120" s="83">
        <v>7790272001036</v>
      </c>
      <c r="D120" s="83" t="s">
        <v>96</v>
      </c>
      <c r="E120" s="83">
        <v>21215.27</v>
      </c>
      <c r="F120" s="83">
        <v>14850.688999999998</v>
      </c>
      <c r="G120" s="84">
        <v>-6364.5810000000019</v>
      </c>
      <c r="H120" s="84">
        <v>0.3</v>
      </c>
      <c r="I120" s="83" t="s">
        <v>18</v>
      </c>
      <c r="J120" s="83" t="s">
        <v>94</v>
      </c>
      <c r="K120" s="83">
        <v>46206</v>
      </c>
      <c r="L120" s="83">
        <v>46234</v>
      </c>
      <c r="M120" s="84" t="s">
        <v>63</v>
      </c>
    </row>
    <row r="121" spans="1:13">
      <c r="A121" s="83">
        <v>1442</v>
      </c>
      <c r="B121" s="84">
        <v>1</v>
      </c>
      <c r="C121" s="83">
        <v>7790272001005</v>
      </c>
      <c r="D121" s="83" t="s">
        <v>97</v>
      </c>
      <c r="E121" s="83">
        <v>6954.08</v>
      </c>
      <c r="F121" s="83">
        <v>4867.8559999999998</v>
      </c>
      <c r="G121" s="84">
        <v>-2086.2240000000002</v>
      </c>
      <c r="H121" s="84">
        <v>0.3</v>
      </c>
      <c r="I121" s="83" t="s">
        <v>18</v>
      </c>
      <c r="J121" s="83" t="s">
        <v>94</v>
      </c>
      <c r="K121" s="83">
        <v>46206</v>
      </c>
      <c r="L121" s="83">
        <v>46234</v>
      </c>
      <c r="M121" s="84" t="s">
        <v>63</v>
      </c>
    </row>
    <row r="122" spans="1:13">
      <c r="A122" s="83">
        <v>5166</v>
      </c>
      <c r="B122" s="84">
        <v>4</v>
      </c>
      <c r="C122" s="83">
        <v>7790272004112</v>
      </c>
      <c r="D122" s="83" t="s">
        <v>274</v>
      </c>
      <c r="E122" s="83">
        <v>35355.360000000001</v>
      </c>
      <c r="F122" s="83">
        <v>24748.752</v>
      </c>
      <c r="G122" s="84">
        <v>-10606.608</v>
      </c>
      <c r="H122" s="84">
        <v>0.3</v>
      </c>
      <c r="I122" s="83" t="s">
        <v>18</v>
      </c>
      <c r="J122" s="83" t="s">
        <v>94</v>
      </c>
      <c r="K122" s="83">
        <v>46206</v>
      </c>
      <c r="L122" s="83">
        <v>46234</v>
      </c>
      <c r="M122" s="84" t="s">
        <v>63</v>
      </c>
    </row>
    <row r="180" spans="1:13">
      <c r="A180" s="112"/>
      <c r="B180" s="113"/>
      <c r="C180" s="112"/>
      <c r="D180" s="112"/>
      <c r="E180" s="112"/>
      <c r="F180" s="112"/>
      <c r="G180" s="113"/>
      <c r="H180" s="113"/>
      <c r="I180" s="112"/>
      <c r="J180" s="112"/>
      <c r="K180" s="112"/>
      <c r="L180" s="112"/>
      <c r="M180" s="113" t="s">
        <v>718</v>
      </c>
    </row>
    <row r="181" spans="1:13">
      <c r="A181" s="112"/>
      <c r="B181" s="113"/>
      <c r="C181" s="112"/>
      <c r="D181" s="112"/>
      <c r="E181" s="112"/>
      <c r="F181" s="112"/>
      <c r="G181" s="113"/>
      <c r="H181" s="113"/>
      <c r="I181" s="112"/>
      <c r="J181" s="112"/>
      <c r="K181" s="112"/>
      <c r="L181" s="112"/>
      <c r="M181" s="113" t="s">
        <v>718</v>
      </c>
    </row>
    <row r="182" spans="1:13">
      <c r="A182" s="112"/>
      <c r="B182" s="113"/>
      <c r="C182" s="112"/>
      <c r="D182" s="112"/>
      <c r="E182" s="112"/>
      <c r="F182" s="112"/>
      <c r="G182" s="113"/>
      <c r="H182" s="113"/>
      <c r="I182" s="112"/>
      <c r="J182" s="112"/>
      <c r="K182" s="112"/>
      <c r="L182" s="112"/>
      <c r="M182" s="113" t="s">
        <v>718</v>
      </c>
    </row>
    <row r="183" spans="1:13">
      <c r="A183" s="112"/>
      <c r="B183" s="113"/>
      <c r="C183" s="112"/>
      <c r="D183" s="112"/>
      <c r="E183" s="112"/>
      <c r="F183" s="112"/>
      <c r="G183" s="113"/>
      <c r="H183" s="113"/>
      <c r="I183" s="112"/>
      <c r="J183" s="112"/>
      <c r="K183" s="112"/>
      <c r="L183" s="112"/>
      <c r="M183" s="113" t="s">
        <v>718</v>
      </c>
    </row>
    <row r="184" spans="1:13">
      <c r="A184" s="112"/>
      <c r="B184" s="113"/>
      <c r="C184" s="112"/>
      <c r="D184" s="112"/>
      <c r="E184" s="112"/>
      <c r="F184" s="112"/>
      <c r="G184" s="113"/>
      <c r="H184" s="113"/>
      <c r="I184" s="112"/>
      <c r="J184" s="112"/>
      <c r="K184" s="112"/>
      <c r="L184" s="112"/>
      <c r="M184" s="113" t="s">
        <v>718</v>
      </c>
    </row>
    <row r="185" spans="1:13">
      <c r="A185" s="112"/>
      <c r="B185" s="113"/>
      <c r="C185" s="112"/>
      <c r="D185" s="112"/>
      <c r="E185" s="112"/>
      <c r="F185" s="112"/>
      <c r="G185" s="113"/>
      <c r="H185" s="113"/>
      <c r="I185" s="112"/>
      <c r="J185" s="112"/>
      <c r="K185" s="112"/>
      <c r="L185" s="112"/>
      <c r="M185" s="113" t="s">
        <v>718</v>
      </c>
    </row>
    <row r="186" spans="1:13">
      <c r="A186" s="112"/>
      <c r="B186" s="113"/>
      <c r="C186" s="112"/>
      <c r="D186" s="112"/>
      <c r="E186" s="112"/>
      <c r="F186" s="112"/>
      <c r="G186" s="113"/>
      <c r="H186" s="113"/>
      <c r="I186" s="112"/>
      <c r="J186" s="112"/>
      <c r="K186" s="112"/>
      <c r="L186" s="112"/>
      <c r="M186" s="113" t="s">
        <v>718</v>
      </c>
    </row>
    <row r="187" spans="1:13">
      <c r="A187" s="112"/>
      <c r="B187" s="113"/>
      <c r="C187" s="112"/>
      <c r="D187" s="112"/>
      <c r="E187" s="112"/>
      <c r="F187" s="112"/>
      <c r="G187" s="113"/>
      <c r="H187" s="113"/>
      <c r="I187" s="112"/>
      <c r="J187" s="112"/>
      <c r="K187" s="112"/>
      <c r="L187" s="112"/>
      <c r="M187" s="113" t="s">
        <v>718</v>
      </c>
    </row>
    <row r="188" spans="1:13">
      <c r="A188" s="112"/>
      <c r="B188" s="113"/>
      <c r="C188" s="112"/>
      <c r="D188" s="112"/>
      <c r="E188" s="112"/>
      <c r="F188" s="112"/>
      <c r="G188" s="113"/>
      <c r="H188" s="113"/>
      <c r="I188" s="112"/>
      <c r="J188" s="112"/>
      <c r="K188" s="112"/>
      <c r="L188" s="112"/>
      <c r="M188" s="113" t="s">
        <v>718</v>
      </c>
    </row>
    <row r="189" spans="1:13">
      <c r="A189" s="112"/>
      <c r="B189" s="113"/>
      <c r="C189" s="112"/>
      <c r="D189" s="112"/>
      <c r="E189" s="112"/>
      <c r="F189" s="112"/>
      <c r="G189" s="113"/>
      <c r="H189" s="113"/>
      <c r="I189" s="112"/>
      <c r="J189" s="112"/>
      <c r="K189" s="112"/>
      <c r="L189" s="112"/>
      <c r="M189" s="113" t="s">
        <v>718</v>
      </c>
    </row>
    <row r="190" spans="1:13">
      <c r="A190" s="112"/>
      <c r="B190" s="113"/>
      <c r="C190" s="112"/>
      <c r="D190" s="112"/>
      <c r="E190" s="112"/>
      <c r="F190" s="112"/>
      <c r="G190" s="113"/>
      <c r="H190" s="113"/>
      <c r="I190" s="112"/>
      <c r="J190" s="112"/>
      <c r="K190" s="112"/>
      <c r="L190" s="112"/>
      <c r="M190" s="113" t="s">
        <v>718</v>
      </c>
    </row>
    <row r="191" spans="1:13">
      <c r="A191" s="112"/>
      <c r="B191" s="113"/>
      <c r="C191" s="112"/>
      <c r="D191" s="112"/>
      <c r="E191" s="112"/>
      <c r="F191" s="112"/>
      <c r="G191" s="113"/>
      <c r="H191" s="113"/>
      <c r="I191" s="112"/>
      <c r="J191" s="112"/>
      <c r="K191" s="112"/>
      <c r="L191" s="112"/>
      <c r="M191" s="113" t="s">
        <v>718</v>
      </c>
    </row>
    <row r="192" spans="1:13">
      <c r="A192" s="112"/>
      <c r="B192" s="113"/>
      <c r="C192" s="112"/>
      <c r="D192" s="112"/>
      <c r="E192" s="112"/>
      <c r="F192" s="112"/>
      <c r="G192" s="113"/>
      <c r="H192" s="113"/>
      <c r="I192" s="112"/>
      <c r="J192" s="112"/>
      <c r="K192" s="112"/>
      <c r="L192" s="112"/>
      <c r="M192" s="113" t="s">
        <v>718</v>
      </c>
    </row>
    <row r="193" spans="1:13">
      <c r="A193" s="112"/>
      <c r="B193" s="113"/>
      <c r="C193" s="112"/>
      <c r="D193" s="112"/>
      <c r="E193" s="112"/>
      <c r="F193" s="112"/>
      <c r="G193" s="113"/>
      <c r="H193" s="113"/>
      <c r="I193" s="112"/>
      <c r="J193" s="112"/>
      <c r="K193" s="112"/>
      <c r="L193" s="112"/>
      <c r="M193" s="113" t="s">
        <v>718</v>
      </c>
    </row>
    <row r="194" spans="1:13">
      <c r="A194" s="112"/>
      <c r="B194" s="113"/>
      <c r="C194" s="112"/>
      <c r="D194" s="112"/>
      <c r="E194" s="112"/>
      <c r="F194" s="112"/>
      <c r="G194" s="113"/>
      <c r="H194" s="113"/>
      <c r="I194" s="112"/>
      <c r="J194" s="112"/>
      <c r="K194" s="112"/>
      <c r="L194" s="112"/>
      <c r="M194" s="113" t="s">
        <v>718</v>
      </c>
    </row>
    <row r="195" spans="1:13">
      <c r="A195" s="112"/>
      <c r="B195" s="113"/>
      <c r="C195" s="112"/>
      <c r="D195" s="112"/>
      <c r="E195" s="112"/>
      <c r="F195" s="112"/>
      <c r="G195" s="113"/>
      <c r="H195" s="113"/>
      <c r="I195" s="112"/>
      <c r="J195" s="112"/>
      <c r="K195" s="112"/>
      <c r="L195" s="112"/>
      <c r="M195" s="113" t="s">
        <v>718</v>
      </c>
    </row>
    <row r="196" spans="1:13">
      <c r="A196" s="112"/>
      <c r="B196" s="113"/>
      <c r="C196" s="112"/>
      <c r="D196" s="112"/>
      <c r="E196" s="112"/>
      <c r="F196" s="112"/>
      <c r="G196" s="113"/>
      <c r="H196" s="113"/>
      <c r="I196" s="112"/>
      <c r="J196" s="112"/>
      <c r="K196" s="112"/>
      <c r="L196" s="112"/>
      <c r="M196" s="113" t="s">
        <v>718</v>
      </c>
    </row>
    <row r="197" spans="1:13">
      <c r="A197" s="112"/>
      <c r="B197" s="113"/>
      <c r="C197" s="112"/>
      <c r="D197" s="112"/>
      <c r="E197" s="112"/>
      <c r="F197" s="112"/>
      <c r="G197" s="113"/>
      <c r="H197" s="113"/>
      <c r="I197" s="112"/>
      <c r="J197" s="112"/>
      <c r="K197" s="112"/>
      <c r="L197" s="112"/>
      <c r="M197" s="113" t="s">
        <v>718</v>
      </c>
    </row>
    <row r="198" spans="1:13">
      <c r="A198" s="112"/>
      <c r="B198" s="113"/>
      <c r="C198" s="112"/>
      <c r="D198" s="112"/>
      <c r="E198" s="112"/>
      <c r="F198" s="112"/>
      <c r="G198" s="113"/>
      <c r="H198" s="113"/>
      <c r="I198" s="112"/>
      <c r="J198" s="112"/>
      <c r="K198" s="112"/>
      <c r="L198" s="112"/>
      <c r="M198" s="113" t="s">
        <v>718</v>
      </c>
    </row>
    <row r="199" spans="1:13">
      <c r="A199" s="112"/>
      <c r="B199" s="113"/>
      <c r="C199" s="112"/>
      <c r="D199" s="112"/>
      <c r="E199" s="112"/>
      <c r="F199" s="112"/>
      <c r="G199" s="113"/>
      <c r="H199" s="113"/>
      <c r="I199" s="112"/>
      <c r="J199" s="112"/>
      <c r="K199" s="112"/>
      <c r="L199" s="112"/>
      <c r="M199" s="113" t="s">
        <v>718</v>
      </c>
    </row>
    <row r="200" spans="1:13">
      <c r="A200" s="112"/>
      <c r="B200" s="113"/>
      <c r="C200" s="112"/>
      <c r="D200" s="112"/>
      <c r="E200" s="112"/>
      <c r="F200" s="112"/>
      <c r="G200" s="113"/>
      <c r="H200" s="113"/>
      <c r="I200" s="112"/>
      <c r="J200" s="112"/>
      <c r="K200" s="112"/>
      <c r="L200" s="112"/>
      <c r="M200" s="113" t="s">
        <v>718</v>
      </c>
    </row>
    <row r="201" spans="1:13">
      <c r="A201" s="112"/>
      <c r="B201" s="113"/>
      <c r="C201" s="112"/>
      <c r="D201" s="112"/>
      <c r="E201" s="112"/>
      <c r="F201" s="112"/>
      <c r="G201" s="113"/>
      <c r="H201" s="113"/>
      <c r="I201" s="112"/>
      <c r="J201" s="112"/>
      <c r="K201" s="112"/>
      <c r="L201" s="112"/>
      <c r="M201" s="113" t="s">
        <v>718</v>
      </c>
    </row>
    <row r="202" spans="1:13">
      <c r="A202" s="112"/>
      <c r="B202" s="113"/>
      <c r="C202" s="112"/>
      <c r="D202" s="112"/>
      <c r="E202" s="112"/>
      <c r="F202" s="112"/>
      <c r="G202" s="113"/>
      <c r="H202" s="113"/>
      <c r="I202" s="112"/>
      <c r="J202" s="112"/>
      <c r="K202" s="112"/>
      <c r="L202" s="112"/>
      <c r="M202" s="113" t="s">
        <v>718</v>
      </c>
    </row>
    <row r="203" spans="1:13">
      <c r="A203" s="112"/>
      <c r="B203" s="113"/>
      <c r="C203" s="112"/>
      <c r="D203" s="112"/>
      <c r="E203" s="112"/>
      <c r="F203" s="112"/>
      <c r="G203" s="113"/>
      <c r="H203" s="113"/>
      <c r="I203" s="112"/>
      <c r="J203" s="112"/>
      <c r="K203" s="112"/>
      <c r="L203" s="112"/>
      <c r="M203" s="113" t="s">
        <v>718</v>
      </c>
    </row>
    <row r="204" spans="1:13">
      <c r="A204" s="112"/>
      <c r="B204" s="113"/>
      <c r="C204" s="112"/>
      <c r="D204" s="112"/>
      <c r="E204" s="112"/>
      <c r="F204" s="112"/>
      <c r="G204" s="113"/>
      <c r="H204" s="113"/>
      <c r="I204" s="112"/>
      <c r="J204" s="112"/>
      <c r="K204" s="112"/>
      <c r="L204" s="112"/>
      <c r="M204" s="113" t="s">
        <v>718</v>
      </c>
    </row>
    <row r="205" spans="1:13">
      <c r="A205" s="112"/>
      <c r="B205" s="113"/>
      <c r="C205" s="112"/>
      <c r="D205" s="112"/>
      <c r="E205" s="112"/>
      <c r="F205" s="112"/>
      <c r="G205" s="113"/>
      <c r="H205" s="113"/>
      <c r="I205" s="112"/>
      <c r="J205" s="112"/>
      <c r="K205" s="112"/>
      <c r="L205" s="112"/>
      <c r="M205" s="113" t="s">
        <v>718</v>
      </c>
    </row>
    <row r="206" spans="1:13">
      <c r="A206" s="112"/>
      <c r="B206" s="113"/>
      <c r="C206" s="112"/>
      <c r="D206" s="112"/>
      <c r="E206" s="112"/>
      <c r="F206" s="112"/>
      <c r="G206" s="113"/>
      <c r="H206" s="113"/>
      <c r="I206" s="112"/>
      <c r="J206" s="112"/>
      <c r="K206" s="112"/>
      <c r="L206" s="112"/>
      <c r="M206" s="113" t="s">
        <v>718</v>
      </c>
    </row>
    <row r="207" spans="1:13">
      <c r="A207" s="112"/>
      <c r="B207" s="113"/>
      <c r="C207" s="112"/>
      <c r="D207" s="112"/>
      <c r="E207" s="112"/>
      <c r="F207" s="112"/>
      <c r="G207" s="113"/>
      <c r="H207" s="113"/>
      <c r="I207" s="112"/>
      <c r="J207" s="112"/>
      <c r="K207" s="112"/>
      <c r="L207" s="112"/>
      <c r="M207" s="113" t="s">
        <v>718</v>
      </c>
    </row>
    <row r="208" spans="1:13">
      <c r="A208" s="112"/>
      <c r="B208" s="113"/>
      <c r="C208" s="112"/>
      <c r="D208" s="112"/>
      <c r="E208" s="112"/>
      <c r="F208" s="112"/>
      <c r="G208" s="113"/>
      <c r="H208" s="113"/>
      <c r="I208" s="112"/>
      <c r="J208" s="112"/>
      <c r="K208" s="112"/>
      <c r="L208" s="112"/>
      <c r="M208" s="113" t="s">
        <v>718</v>
      </c>
    </row>
    <row r="209" spans="1:13">
      <c r="A209" s="112"/>
      <c r="B209" s="113"/>
      <c r="C209" s="112"/>
      <c r="D209" s="112"/>
      <c r="E209" s="112"/>
      <c r="F209" s="112"/>
      <c r="G209" s="113"/>
      <c r="H209" s="113"/>
      <c r="I209" s="112"/>
      <c r="J209" s="112"/>
      <c r="K209" s="112"/>
      <c r="L209" s="112"/>
      <c r="M209" s="113" t="s">
        <v>718</v>
      </c>
    </row>
    <row r="210" spans="1:13">
      <c r="A210" s="112"/>
      <c r="B210" s="113"/>
      <c r="C210" s="112"/>
      <c r="D210" s="112"/>
      <c r="E210" s="112"/>
      <c r="F210" s="112"/>
      <c r="G210" s="113"/>
      <c r="H210" s="113"/>
      <c r="I210" s="112"/>
      <c r="J210" s="112"/>
      <c r="K210" s="112"/>
      <c r="L210" s="112"/>
      <c r="M210" s="113" t="s">
        <v>718</v>
      </c>
    </row>
    <row r="211" spans="1:13">
      <c r="A211" s="112"/>
      <c r="B211" s="113"/>
      <c r="C211" s="112"/>
      <c r="D211" s="112"/>
      <c r="E211" s="112"/>
      <c r="F211" s="112"/>
      <c r="G211" s="113"/>
      <c r="H211" s="113"/>
      <c r="I211" s="112"/>
      <c r="J211" s="112"/>
      <c r="K211" s="112"/>
      <c r="L211" s="112"/>
      <c r="M211" s="113" t="s">
        <v>718</v>
      </c>
    </row>
    <row r="212" spans="1:13">
      <c r="A212" s="114"/>
      <c r="B212" s="115"/>
      <c r="C212" s="114"/>
      <c r="D212" s="114"/>
      <c r="E212" s="114"/>
      <c r="F212" s="114"/>
      <c r="G212" s="115"/>
      <c r="H212" s="115"/>
      <c r="I212" s="114"/>
      <c r="J212" s="114"/>
      <c r="K212" s="114"/>
      <c r="L212" s="114"/>
      <c r="M212" s="115" t="s">
        <v>718</v>
      </c>
    </row>
    <row r="213" spans="1:13">
      <c r="A213" s="114"/>
      <c r="B213" s="115"/>
      <c r="C213" s="114"/>
      <c r="D213" s="114"/>
      <c r="E213" s="114"/>
      <c r="F213" s="114"/>
      <c r="G213" s="115"/>
      <c r="H213" s="115"/>
      <c r="I213" s="114"/>
      <c r="J213" s="114"/>
      <c r="K213" s="114"/>
      <c r="L213" s="114"/>
      <c r="M213" s="115" t="s">
        <v>718</v>
      </c>
    </row>
    <row r="214" spans="1:13">
      <c r="A214" s="112"/>
      <c r="B214" s="113"/>
      <c r="C214" s="112"/>
      <c r="D214" s="112"/>
      <c r="E214" s="112"/>
      <c r="F214" s="112"/>
      <c r="G214" s="113"/>
      <c r="H214" s="113"/>
      <c r="I214" s="112"/>
      <c r="J214" s="112"/>
      <c r="K214" s="112"/>
      <c r="L214" s="112"/>
      <c r="M214" s="113" t="s">
        <v>718</v>
      </c>
    </row>
    <row r="215" spans="1:13">
      <c r="A215" s="112"/>
      <c r="B215" s="113"/>
      <c r="C215" s="112"/>
      <c r="D215" s="112"/>
      <c r="E215" s="112"/>
      <c r="F215" s="112"/>
      <c r="G215" s="113"/>
      <c r="H215" s="113"/>
      <c r="I215" s="112"/>
      <c r="J215" s="112"/>
      <c r="K215" s="112"/>
      <c r="L215" s="112"/>
      <c r="M215" s="113" t="s">
        <v>718</v>
      </c>
    </row>
    <row r="216" spans="1:13">
      <c r="A216" s="112"/>
      <c r="B216" s="113"/>
      <c r="C216" s="112"/>
      <c r="D216" s="112"/>
      <c r="E216" s="112"/>
      <c r="F216" s="112"/>
      <c r="G216" s="113"/>
      <c r="H216" s="113"/>
      <c r="I216" s="112"/>
      <c r="J216" s="112"/>
      <c r="K216" s="112"/>
      <c r="L216" s="112"/>
      <c r="M216" s="113" t="s">
        <v>718</v>
      </c>
    </row>
    <row r="217" spans="1:13">
      <c r="A217" s="112"/>
      <c r="B217" s="113"/>
      <c r="C217" s="112"/>
      <c r="D217" s="112"/>
      <c r="E217" s="112"/>
      <c r="F217" s="112"/>
      <c r="G217" s="113"/>
      <c r="H217" s="113"/>
      <c r="I217" s="112"/>
      <c r="J217" s="112"/>
      <c r="K217" s="112"/>
      <c r="L217" s="112"/>
      <c r="M217" s="113" t="s">
        <v>718</v>
      </c>
    </row>
    <row r="218" spans="1:13">
      <c r="A218" s="112"/>
      <c r="B218" s="113"/>
      <c r="C218" s="112"/>
      <c r="D218" s="112"/>
      <c r="E218" s="112"/>
      <c r="F218" s="112"/>
      <c r="G218" s="113"/>
      <c r="H218" s="113"/>
      <c r="I218" s="112"/>
      <c r="J218" s="112"/>
      <c r="K218" s="112"/>
      <c r="L218" s="112"/>
      <c r="M218" s="113" t="s">
        <v>718</v>
      </c>
    </row>
    <row r="219" spans="1:13">
      <c r="A219" s="112"/>
      <c r="B219" s="113"/>
      <c r="C219" s="112"/>
      <c r="D219" s="112"/>
      <c r="E219" s="112"/>
      <c r="F219" s="112"/>
      <c r="G219" s="113"/>
      <c r="H219" s="113"/>
      <c r="I219" s="112"/>
      <c r="J219" s="112"/>
      <c r="K219" s="112"/>
      <c r="L219" s="112"/>
      <c r="M219" s="113" t="s">
        <v>718</v>
      </c>
    </row>
    <row r="220" spans="1:13">
      <c r="A220" s="112"/>
      <c r="B220" s="113"/>
      <c r="C220" s="112"/>
      <c r="D220" s="112"/>
      <c r="E220" s="112"/>
      <c r="F220" s="112"/>
      <c r="G220" s="113"/>
      <c r="H220" s="113"/>
      <c r="I220" s="112"/>
      <c r="J220" s="112"/>
      <c r="K220" s="112"/>
      <c r="L220" s="112"/>
      <c r="M220" s="113" t="s">
        <v>718</v>
      </c>
    </row>
    <row r="221" spans="1:13">
      <c r="A221" s="112"/>
      <c r="B221" s="113"/>
      <c r="C221" s="112"/>
      <c r="D221" s="112"/>
      <c r="E221" s="112"/>
      <c r="F221" s="112"/>
      <c r="G221" s="113"/>
      <c r="H221" s="113"/>
      <c r="I221" s="112"/>
      <c r="J221" s="112"/>
      <c r="K221" s="112"/>
      <c r="L221" s="112"/>
      <c r="M221" s="113" t="s">
        <v>718</v>
      </c>
    </row>
    <row r="222" spans="1:13">
      <c r="A222" s="112"/>
      <c r="B222" s="113"/>
      <c r="C222" s="112"/>
      <c r="D222" s="112"/>
      <c r="E222" s="112"/>
      <c r="F222" s="112"/>
      <c r="G222" s="113"/>
      <c r="H222" s="113"/>
      <c r="I222" s="112"/>
      <c r="J222" s="112"/>
      <c r="K222" s="112"/>
      <c r="L222" s="112"/>
      <c r="M222" s="113" t="s">
        <v>718</v>
      </c>
    </row>
    <row r="223" spans="1:13">
      <c r="A223" s="112"/>
      <c r="B223" s="113"/>
      <c r="C223" s="112"/>
      <c r="D223" s="112"/>
      <c r="E223" s="112"/>
      <c r="F223" s="112"/>
      <c r="G223" s="113"/>
      <c r="H223" s="113"/>
      <c r="I223" s="112"/>
      <c r="J223" s="112"/>
      <c r="K223" s="112"/>
      <c r="L223" s="112"/>
      <c r="M223" s="113" t="s">
        <v>718</v>
      </c>
    </row>
    <row r="224" spans="1:13">
      <c r="A224" s="112"/>
      <c r="B224" s="113"/>
      <c r="C224" s="112"/>
      <c r="D224" s="112"/>
      <c r="E224" s="112"/>
      <c r="F224" s="112"/>
      <c r="G224" s="113"/>
      <c r="H224" s="113"/>
      <c r="I224" s="112"/>
      <c r="J224" s="112"/>
      <c r="K224" s="112"/>
      <c r="L224" s="112"/>
      <c r="M224" s="113" t="s">
        <v>718</v>
      </c>
    </row>
    <row r="225" spans="1:13">
      <c r="A225" s="112"/>
      <c r="B225" s="113"/>
      <c r="C225" s="112"/>
      <c r="D225" s="112"/>
      <c r="E225" s="112"/>
      <c r="F225" s="112"/>
      <c r="G225" s="113"/>
      <c r="H225" s="113"/>
      <c r="I225" s="112"/>
      <c r="J225" s="112"/>
      <c r="K225" s="112"/>
      <c r="L225" s="112"/>
      <c r="M225" s="113" t="s">
        <v>718</v>
      </c>
    </row>
    <row r="226" spans="1:13">
      <c r="A226" s="112"/>
      <c r="B226" s="113"/>
      <c r="C226" s="112"/>
      <c r="D226" s="112"/>
      <c r="E226" s="112"/>
      <c r="F226" s="112"/>
      <c r="G226" s="113"/>
      <c r="H226" s="113"/>
      <c r="I226" s="112"/>
      <c r="J226" s="112"/>
      <c r="K226" s="112"/>
      <c r="L226" s="112"/>
      <c r="M226" s="113" t="s">
        <v>718</v>
      </c>
    </row>
    <row r="227" spans="1:13">
      <c r="A227" s="112"/>
      <c r="B227" s="113"/>
      <c r="C227" s="112"/>
      <c r="D227" s="112"/>
      <c r="E227" s="112"/>
      <c r="F227" s="112"/>
      <c r="G227" s="113"/>
      <c r="H227" s="113"/>
      <c r="I227" s="112"/>
      <c r="J227" s="112"/>
      <c r="K227" s="112"/>
      <c r="L227" s="112"/>
      <c r="M227" s="113" t="s">
        <v>718</v>
      </c>
    </row>
    <row r="228" spans="1:13">
      <c r="A228" s="112"/>
      <c r="B228" s="113"/>
      <c r="C228" s="112"/>
      <c r="D228" s="112"/>
      <c r="E228" s="112"/>
      <c r="F228" s="112"/>
      <c r="G228" s="113"/>
      <c r="H228" s="113"/>
      <c r="I228" s="112"/>
      <c r="J228" s="112"/>
      <c r="K228" s="112"/>
      <c r="L228" s="112"/>
      <c r="M228" s="113" t="s">
        <v>718</v>
      </c>
    </row>
    <row r="229" spans="1:13">
      <c r="A229" s="112"/>
      <c r="B229" s="113"/>
      <c r="C229" s="112"/>
      <c r="D229" s="112"/>
      <c r="E229" s="112"/>
      <c r="F229" s="112"/>
      <c r="G229" s="113"/>
      <c r="H229" s="113"/>
      <c r="I229" s="112"/>
      <c r="J229" s="112"/>
      <c r="K229" s="112"/>
      <c r="L229" s="112"/>
      <c r="M229" s="113" t="s">
        <v>718</v>
      </c>
    </row>
    <row r="230" spans="1:13">
      <c r="A230" s="112"/>
      <c r="B230" s="113"/>
      <c r="C230" s="112"/>
      <c r="D230" s="112"/>
      <c r="E230" s="112"/>
      <c r="F230" s="112"/>
      <c r="G230" s="113"/>
      <c r="H230" s="113"/>
      <c r="I230" s="112"/>
      <c r="J230" s="112"/>
      <c r="K230" s="112"/>
      <c r="L230" s="112"/>
      <c r="M230" s="113" t="s">
        <v>718</v>
      </c>
    </row>
    <row r="231" spans="1:13">
      <c r="A231" s="112"/>
      <c r="B231" s="113"/>
      <c r="C231" s="112"/>
      <c r="D231" s="112"/>
      <c r="E231" s="112"/>
      <c r="F231" s="112"/>
      <c r="G231" s="113"/>
      <c r="H231" s="113"/>
      <c r="I231" s="112"/>
      <c r="J231" s="112"/>
      <c r="K231" s="112"/>
      <c r="L231" s="112"/>
      <c r="M231" s="113" t="s">
        <v>718</v>
      </c>
    </row>
    <row r="232" spans="1:13">
      <c r="A232" s="112"/>
      <c r="B232" s="113"/>
      <c r="C232" s="112"/>
      <c r="D232" s="112"/>
      <c r="E232" s="112"/>
      <c r="F232" s="112"/>
      <c r="G232" s="113"/>
      <c r="H232" s="113"/>
      <c r="I232" s="112"/>
      <c r="J232" s="112"/>
      <c r="K232" s="112"/>
      <c r="L232" s="112"/>
      <c r="M232" s="113" t="s">
        <v>718</v>
      </c>
    </row>
    <row r="233" spans="1:13">
      <c r="A233" s="112"/>
      <c r="B233" s="113"/>
      <c r="C233" s="112"/>
      <c r="D233" s="112"/>
      <c r="E233" s="112"/>
      <c r="F233" s="112"/>
      <c r="G233" s="113"/>
      <c r="H233" s="113"/>
      <c r="I233" s="112"/>
      <c r="J233" s="112"/>
      <c r="K233" s="112"/>
      <c r="L233" s="112"/>
      <c r="M233" s="113" t="s">
        <v>718</v>
      </c>
    </row>
    <row r="234" spans="1:13">
      <c r="A234" s="112"/>
      <c r="B234" s="113"/>
      <c r="C234" s="112"/>
      <c r="D234" s="112"/>
      <c r="E234" s="112"/>
      <c r="F234" s="112"/>
      <c r="G234" s="113"/>
      <c r="H234" s="113"/>
      <c r="I234" s="112"/>
      <c r="J234" s="112"/>
      <c r="K234" s="112"/>
      <c r="L234" s="112"/>
      <c r="M234" s="113" t="s">
        <v>718</v>
      </c>
    </row>
    <row r="235" spans="1:13">
      <c r="A235" s="112"/>
      <c r="B235" s="113"/>
      <c r="C235" s="112"/>
      <c r="D235" s="112"/>
      <c r="E235" s="112"/>
      <c r="F235" s="112"/>
      <c r="G235" s="113"/>
      <c r="H235" s="113"/>
      <c r="I235" s="112"/>
      <c r="J235" s="112"/>
      <c r="K235" s="112"/>
      <c r="L235" s="112"/>
      <c r="M235" s="113" t="s">
        <v>718</v>
      </c>
    </row>
    <row r="236" spans="1:13">
      <c r="A236" s="112"/>
      <c r="B236" s="113"/>
      <c r="C236" s="112"/>
      <c r="D236" s="112"/>
      <c r="E236" s="112"/>
      <c r="F236" s="112"/>
      <c r="G236" s="113"/>
      <c r="H236" s="113"/>
      <c r="I236" s="112"/>
      <c r="J236" s="112"/>
      <c r="K236" s="112"/>
      <c r="L236" s="112"/>
      <c r="M236" s="113" t="s">
        <v>718</v>
      </c>
    </row>
    <row r="237" spans="1:13">
      <c r="A237" s="112"/>
      <c r="B237" s="113"/>
      <c r="C237" s="112"/>
      <c r="D237" s="112"/>
      <c r="E237" s="112"/>
      <c r="F237" s="112"/>
      <c r="G237" s="113"/>
      <c r="H237" s="113"/>
      <c r="I237" s="112"/>
      <c r="J237" s="112"/>
      <c r="K237" s="112"/>
      <c r="L237" s="112"/>
      <c r="M237" s="113" t="s">
        <v>718</v>
      </c>
    </row>
    <row r="238" spans="1:13">
      <c r="A238" s="112"/>
      <c r="B238" s="113"/>
      <c r="C238" s="112"/>
      <c r="D238" s="112"/>
      <c r="E238" s="112"/>
      <c r="F238" s="112"/>
      <c r="G238" s="113"/>
      <c r="H238" s="113"/>
      <c r="I238" s="112"/>
      <c r="J238" s="112"/>
      <c r="K238" s="112"/>
      <c r="L238" s="112"/>
      <c r="M238" s="113" t="s">
        <v>718</v>
      </c>
    </row>
    <row r="239" spans="1:13">
      <c r="A239" s="112"/>
      <c r="B239" s="113"/>
      <c r="C239" s="112"/>
      <c r="D239" s="112"/>
      <c r="E239" s="112"/>
      <c r="F239" s="112"/>
      <c r="G239" s="113"/>
      <c r="H239" s="113"/>
      <c r="I239" s="112"/>
      <c r="J239" s="112"/>
      <c r="K239" s="112"/>
      <c r="L239" s="112"/>
      <c r="M239" s="113" t="s">
        <v>718</v>
      </c>
    </row>
    <row r="240" spans="1:13">
      <c r="A240" s="112"/>
      <c r="B240" s="113"/>
      <c r="C240" s="112"/>
      <c r="D240" s="112"/>
      <c r="E240" s="112"/>
      <c r="F240" s="112"/>
      <c r="G240" s="113"/>
      <c r="H240" s="113"/>
      <c r="I240" s="112"/>
      <c r="J240" s="112"/>
      <c r="K240" s="112"/>
      <c r="L240" s="112"/>
      <c r="M240" s="113" t="s">
        <v>718</v>
      </c>
    </row>
    <row r="241" spans="1:13">
      <c r="A241" s="112"/>
      <c r="B241" s="113"/>
      <c r="C241" s="112"/>
      <c r="D241" s="112"/>
      <c r="E241" s="112"/>
      <c r="F241" s="112"/>
      <c r="G241" s="113"/>
      <c r="H241" s="113"/>
      <c r="I241" s="112"/>
      <c r="J241" s="112"/>
      <c r="K241" s="112"/>
      <c r="L241" s="112"/>
      <c r="M241" s="113" t="s">
        <v>718</v>
      </c>
    </row>
    <row r="242" spans="1:13">
      <c r="A242" s="112"/>
      <c r="B242" s="113"/>
      <c r="C242" s="112"/>
      <c r="D242" s="112"/>
      <c r="E242" s="112"/>
      <c r="F242" s="112"/>
      <c r="G242" s="113"/>
      <c r="H242" s="113"/>
      <c r="I242" s="112"/>
      <c r="J242" s="112"/>
      <c r="K242" s="112"/>
      <c r="L242" s="112"/>
      <c r="M242" s="113" t="s">
        <v>718</v>
      </c>
    </row>
    <row r="243" spans="1:13">
      <c r="A243" s="112"/>
      <c r="B243" s="113"/>
      <c r="C243" s="112"/>
      <c r="D243" s="112"/>
      <c r="E243" s="112"/>
      <c r="F243" s="112"/>
      <c r="G243" s="113"/>
      <c r="H243" s="113"/>
      <c r="I243" s="112"/>
      <c r="J243" s="112"/>
      <c r="K243" s="112"/>
      <c r="L243" s="112"/>
      <c r="M243" s="113" t="s">
        <v>718</v>
      </c>
    </row>
    <row r="244" spans="1:13">
      <c r="A244" s="112"/>
      <c r="B244" s="113"/>
      <c r="C244" s="112"/>
      <c r="D244" s="112"/>
      <c r="E244" s="112"/>
      <c r="F244" s="112"/>
      <c r="G244" s="113"/>
      <c r="H244" s="113"/>
      <c r="I244" s="112"/>
      <c r="J244" s="112"/>
      <c r="K244" s="112"/>
      <c r="L244" s="112"/>
      <c r="M244" s="113" t="s">
        <v>718</v>
      </c>
    </row>
    <row r="245" spans="1:13">
      <c r="A245" s="112"/>
      <c r="B245" s="113"/>
      <c r="C245" s="112"/>
      <c r="D245" s="112"/>
      <c r="E245" s="112"/>
      <c r="F245" s="112"/>
      <c r="G245" s="113"/>
      <c r="H245" s="113"/>
      <c r="I245" s="112"/>
      <c r="J245" s="112"/>
      <c r="K245" s="112"/>
      <c r="L245" s="112"/>
      <c r="M245" s="113" t="s">
        <v>718</v>
      </c>
    </row>
    <row r="246" spans="1:13">
      <c r="A246" s="112"/>
      <c r="B246" s="113"/>
      <c r="C246" s="112"/>
      <c r="D246" s="112"/>
      <c r="E246" s="112"/>
      <c r="F246" s="112"/>
      <c r="G246" s="113"/>
      <c r="H246" s="113"/>
      <c r="I246" s="112"/>
      <c r="J246" s="112"/>
      <c r="K246" s="112"/>
      <c r="L246" s="112"/>
      <c r="M246" s="113" t="s">
        <v>718</v>
      </c>
    </row>
    <row r="247" spans="1:13">
      <c r="A247" s="112"/>
      <c r="B247" s="113"/>
      <c r="C247" s="112"/>
      <c r="D247" s="112"/>
      <c r="E247" s="112"/>
      <c r="F247" s="112"/>
      <c r="G247" s="113"/>
      <c r="H247" s="113"/>
      <c r="I247" s="112"/>
      <c r="J247" s="112"/>
      <c r="K247" s="112"/>
      <c r="L247" s="112"/>
      <c r="M247" s="113" t="s">
        <v>718</v>
      </c>
    </row>
    <row r="248" spans="1:13">
      <c r="A248" s="112"/>
      <c r="B248" s="113"/>
      <c r="C248" s="112"/>
      <c r="D248" s="112"/>
      <c r="E248" s="112"/>
      <c r="F248" s="112"/>
      <c r="G248" s="113"/>
      <c r="H248" s="113"/>
      <c r="I248" s="112"/>
      <c r="J248" s="112"/>
      <c r="K248" s="112"/>
      <c r="L248" s="112"/>
      <c r="M248" s="113" t="s">
        <v>718</v>
      </c>
    </row>
    <row r="249" spans="1:13">
      <c r="A249" s="112"/>
      <c r="B249" s="113"/>
      <c r="C249" s="112"/>
      <c r="D249" s="112"/>
      <c r="E249" s="112"/>
      <c r="F249" s="112"/>
      <c r="G249" s="113"/>
      <c r="H249" s="113"/>
      <c r="I249" s="112"/>
      <c r="J249" s="112"/>
      <c r="K249" s="112"/>
      <c r="L249" s="112"/>
      <c r="M249" s="113" t="s">
        <v>718</v>
      </c>
    </row>
    <row r="250" spans="1:13">
      <c r="A250" s="112"/>
      <c r="B250" s="113"/>
      <c r="C250" s="112"/>
      <c r="D250" s="112"/>
      <c r="E250" s="112"/>
      <c r="F250" s="112"/>
      <c r="G250" s="113"/>
      <c r="H250" s="113"/>
      <c r="I250" s="112"/>
      <c r="J250" s="112"/>
      <c r="K250" s="112"/>
      <c r="L250" s="112"/>
      <c r="M250" s="113" t="s">
        <v>718</v>
      </c>
    </row>
    <row r="251" spans="1:13">
      <c r="A251" s="112"/>
      <c r="B251" s="113"/>
      <c r="C251" s="112"/>
      <c r="D251" s="112"/>
      <c r="E251" s="112"/>
      <c r="F251" s="112"/>
      <c r="G251" s="113"/>
      <c r="H251" s="113"/>
      <c r="I251" s="112"/>
      <c r="J251" s="112"/>
      <c r="K251" s="112"/>
      <c r="L251" s="112"/>
      <c r="M251" s="113" t="s">
        <v>718</v>
      </c>
    </row>
    <row r="252" spans="1:13">
      <c r="A252" s="112"/>
      <c r="B252" s="113"/>
      <c r="C252" s="112"/>
      <c r="D252" s="112"/>
      <c r="E252" s="112"/>
      <c r="F252" s="112"/>
      <c r="G252" s="113"/>
      <c r="H252" s="113"/>
      <c r="I252" s="112"/>
      <c r="J252" s="112"/>
      <c r="K252" s="112"/>
      <c r="L252" s="112"/>
      <c r="M252" s="113" t="s">
        <v>718</v>
      </c>
    </row>
    <row r="253" spans="1:13">
      <c r="A253" s="112"/>
      <c r="B253" s="113"/>
      <c r="C253" s="112"/>
      <c r="D253" s="112"/>
      <c r="E253" s="112"/>
      <c r="F253" s="112"/>
      <c r="G253" s="113"/>
      <c r="H253" s="113"/>
      <c r="I253" s="112"/>
      <c r="J253" s="112"/>
      <c r="K253" s="112"/>
      <c r="L253" s="112"/>
      <c r="M253" s="113" t="s">
        <v>718</v>
      </c>
    </row>
    <row r="254" spans="1:13">
      <c r="A254" s="112"/>
      <c r="B254" s="113"/>
      <c r="C254" s="112"/>
      <c r="D254" s="112"/>
      <c r="E254" s="112"/>
      <c r="F254" s="112"/>
      <c r="G254" s="113"/>
      <c r="H254" s="113"/>
      <c r="I254" s="112"/>
      <c r="J254" s="112"/>
      <c r="K254" s="112"/>
      <c r="L254" s="112"/>
      <c r="M254" s="113" t="s">
        <v>718</v>
      </c>
    </row>
    <row r="255" spans="1:13">
      <c r="A255" s="112"/>
      <c r="B255" s="113"/>
      <c r="C255" s="112"/>
      <c r="D255" s="112"/>
      <c r="E255" s="112"/>
      <c r="F255" s="112"/>
      <c r="G255" s="113"/>
      <c r="H255" s="113"/>
      <c r="I255" s="112"/>
      <c r="J255" s="112"/>
      <c r="K255" s="112"/>
      <c r="L255" s="112"/>
      <c r="M255" s="113" t="s">
        <v>718</v>
      </c>
    </row>
    <row r="256" spans="1:13">
      <c r="A256" s="112"/>
      <c r="B256" s="113"/>
      <c r="C256" s="112"/>
      <c r="D256" s="112"/>
      <c r="E256" s="112"/>
      <c r="F256" s="112"/>
      <c r="G256" s="113"/>
      <c r="H256" s="113"/>
      <c r="I256" s="112"/>
      <c r="J256" s="112"/>
      <c r="K256" s="112"/>
      <c r="L256" s="112"/>
      <c r="M256" s="113" t="s">
        <v>718</v>
      </c>
    </row>
    <row r="257" spans="1:13">
      <c r="A257" s="112"/>
      <c r="B257" s="113"/>
      <c r="C257" s="112"/>
      <c r="D257" s="112"/>
      <c r="E257" s="112"/>
      <c r="F257" s="112"/>
      <c r="G257" s="113"/>
      <c r="H257" s="113"/>
      <c r="I257" s="112"/>
      <c r="J257" s="112"/>
      <c r="K257" s="112"/>
      <c r="L257" s="112"/>
      <c r="M257" s="113" t="s">
        <v>718</v>
      </c>
    </row>
    <row r="258" spans="1:13">
      <c r="A258" s="112"/>
      <c r="B258" s="113"/>
      <c r="C258" s="112"/>
      <c r="D258" s="112"/>
      <c r="E258" s="112"/>
      <c r="F258" s="112"/>
      <c r="G258" s="113"/>
      <c r="H258" s="113"/>
      <c r="I258" s="112"/>
      <c r="J258" s="112"/>
      <c r="K258" s="112"/>
      <c r="L258" s="112"/>
      <c r="M258" s="113" t="s">
        <v>718</v>
      </c>
    </row>
    <row r="259" spans="1:13">
      <c r="A259" s="112"/>
      <c r="B259" s="113"/>
      <c r="C259" s="112"/>
      <c r="D259" s="112"/>
      <c r="E259" s="112"/>
      <c r="F259" s="112"/>
      <c r="G259" s="113"/>
      <c r="H259" s="113"/>
      <c r="I259" s="112"/>
      <c r="J259" s="112"/>
      <c r="K259" s="112"/>
      <c r="L259" s="112"/>
      <c r="M259" s="113" t="s">
        <v>718</v>
      </c>
    </row>
    <row r="260" spans="1:13">
      <c r="A260" s="112"/>
      <c r="B260" s="113"/>
      <c r="C260" s="112"/>
      <c r="D260" s="112"/>
      <c r="E260" s="112"/>
      <c r="F260" s="112"/>
      <c r="G260" s="113"/>
      <c r="H260" s="113"/>
      <c r="I260" s="112"/>
      <c r="J260" s="112"/>
      <c r="K260" s="112"/>
      <c r="L260" s="112"/>
      <c r="M260" s="113" t="s">
        <v>718</v>
      </c>
    </row>
    <row r="261" spans="1:13">
      <c r="A261" s="112"/>
      <c r="B261" s="113"/>
      <c r="C261" s="112"/>
      <c r="D261" s="112"/>
      <c r="E261" s="112"/>
      <c r="F261" s="112"/>
      <c r="G261" s="113"/>
      <c r="H261" s="113"/>
      <c r="I261" s="112"/>
      <c r="J261" s="112"/>
      <c r="K261" s="112"/>
      <c r="L261" s="112"/>
      <c r="M261" s="113" t="s">
        <v>718</v>
      </c>
    </row>
    <row r="262" spans="1:13">
      <c r="A262" s="112"/>
      <c r="B262" s="113"/>
      <c r="C262" s="112"/>
      <c r="D262" s="112"/>
      <c r="E262" s="112"/>
      <c r="F262" s="112"/>
      <c r="G262" s="113"/>
      <c r="H262" s="113"/>
      <c r="I262" s="112"/>
      <c r="J262" s="112"/>
      <c r="K262" s="112"/>
      <c r="L262" s="112"/>
      <c r="M262" s="113" t="s">
        <v>718</v>
      </c>
    </row>
    <row r="263" spans="1:13">
      <c r="A263" s="112"/>
      <c r="B263" s="113"/>
      <c r="C263" s="112"/>
      <c r="D263" s="112"/>
      <c r="E263" s="112"/>
      <c r="F263" s="112"/>
      <c r="G263" s="113"/>
      <c r="H263" s="113"/>
      <c r="I263" s="112"/>
      <c r="J263" s="112"/>
      <c r="K263" s="112"/>
      <c r="L263" s="112"/>
      <c r="M263" s="113" t="s">
        <v>718</v>
      </c>
    </row>
    <row r="264" spans="1:13">
      <c r="A264" s="112"/>
      <c r="B264" s="113"/>
      <c r="C264" s="112"/>
      <c r="D264" s="112"/>
      <c r="E264" s="112"/>
      <c r="F264" s="112"/>
      <c r="G264" s="113"/>
      <c r="H264" s="113"/>
      <c r="I264" s="112"/>
      <c r="J264" s="112"/>
      <c r="K264" s="112"/>
      <c r="L264" s="112"/>
      <c r="M264" s="113" t="s">
        <v>718</v>
      </c>
    </row>
    <row r="265" spans="1:13">
      <c r="A265" s="112"/>
      <c r="B265" s="113"/>
      <c r="C265" s="112"/>
      <c r="D265" s="112"/>
      <c r="E265" s="112"/>
      <c r="F265" s="112"/>
      <c r="G265" s="113"/>
      <c r="H265" s="113"/>
      <c r="I265" s="112"/>
      <c r="J265" s="112"/>
      <c r="K265" s="112"/>
      <c r="L265" s="112"/>
      <c r="M265" s="113" t="s">
        <v>718</v>
      </c>
    </row>
    <row r="266" spans="1:13">
      <c r="A266" s="112"/>
      <c r="B266" s="113"/>
      <c r="C266" s="112"/>
      <c r="D266" s="112"/>
      <c r="E266" s="112"/>
      <c r="F266" s="112"/>
      <c r="G266" s="113"/>
      <c r="H266" s="113"/>
      <c r="I266" s="112"/>
      <c r="J266" s="112"/>
      <c r="K266" s="112"/>
      <c r="L266" s="112"/>
      <c r="M266" s="113" t="s">
        <v>718</v>
      </c>
    </row>
    <row r="267" spans="1:13">
      <c r="A267" s="112"/>
      <c r="B267" s="113"/>
      <c r="C267" s="112"/>
      <c r="D267" s="112"/>
      <c r="E267" s="112"/>
      <c r="F267" s="112"/>
      <c r="G267" s="113"/>
      <c r="H267" s="113"/>
      <c r="I267" s="112"/>
      <c r="J267" s="112"/>
      <c r="K267" s="112"/>
      <c r="L267" s="112"/>
      <c r="M267" s="113" t="s">
        <v>718</v>
      </c>
    </row>
    <row r="268" spans="1:13">
      <c r="A268" s="112"/>
      <c r="B268" s="113"/>
      <c r="C268" s="112"/>
      <c r="D268" s="112"/>
      <c r="E268" s="112"/>
      <c r="F268" s="112"/>
      <c r="G268" s="113"/>
      <c r="H268" s="113"/>
      <c r="I268" s="112"/>
      <c r="J268" s="112"/>
      <c r="K268" s="112"/>
      <c r="L268" s="112"/>
      <c r="M268" s="113" t="s">
        <v>718</v>
      </c>
    </row>
    <row r="269" spans="1:13">
      <c r="A269" s="112"/>
      <c r="B269" s="113"/>
      <c r="C269" s="112"/>
      <c r="D269" s="112"/>
      <c r="E269" s="112"/>
      <c r="F269" s="112"/>
      <c r="G269" s="113"/>
      <c r="H269" s="113"/>
      <c r="I269" s="112"/>
      <c r="J269" s="112"/>
      <c r="K269" s="112"/>
      <c r="L269" s="112"/>
      <c r="M269" s="113" t="s">
        <v>718</v>
      </c>
    </row>
    <row r="270" spans="1:13">
      <c r="A270" s="112"/>
      <c r="B270" s="113"/>
      <c r="C270" s="112"/>
      <c r="D270" s="112"/>
      <c r="E270" s="112"/>
      <c r="F270" s="112"/>
      <c r="G270" s="113"/>
      <c r="H270" s="113"/>
      <c r="I270" s="112"/>
      <c r="J270" s="112"/>
      <c r="K270" s="112"/>
      <c r="L270" s="112"/>
      <c r="M270" s="113" t="s">
        <v>718</v>
      </c>
    </row>
    <row r="271" spans="1:13">
      <c r="A271" s="112"/>
      <c r="B271" s="113"/>
      <c r="C271" s="112"/>
      <c r="D271" s="112"/>
      <c r="E271" s="112"/>
      <c r="F271" s="112"/>
      <c r="G271" s="113"/>
      <c r="H271" s="113"/>
      <c r="I271" s="112"/>
      <c r="J271" s="112"/>
      <c r="K271" s="112"/>
      <c r="L271" s="112"/>
      <c r="M271" s="113" t="s">
        <v>718</v>
      </c>
    </row>
    <row r="272" spans="1:13">
      <c r="A272" s="112"/>
      <c r="B272" s="113"/>
      <c r="C272" s="112"/>
      <c r="D272" s="112"/>
      <c r="E272" s="112"/>
      <c r="F272" s="112"/>
      <c r="G272" s="113"/>
      <c r="H272" s="113"/>
      <c r="I272" s="112"/>
      <c r="J272" s="112"/>
      <c r="K272" s="112"/>
      <c r="L272" s="112"/>
      <c r="M272" s="113" t="s">
        <v>718</v>
      </c>
    </row>
    <row r="273" spans="1:13">
      <c r="A273" s="112"/>
      <c r="B273" s="113"/>
      <c r="C273" s="112"/>
      <c r="D273" s="112"/>
      <c r="E273" s="112"/>
      <c r="F273" s="112"/>
      <c r="G273" s="113"/>
      <c r="H273" s="113"/>
      <c r="I273" s="112"/>
      <c r="J273" s="112"/>
      <c r="K273" s="112"/>
      <c r="L273" s="112"/>
      <c r="M273" s="113" t="s">
        <v>718</v>
      </c>
    </row>
    <row r="274" spans="1:13">
      <c r="A274" s="112"/>
      <c r="B274" s="113"/>
      <c r="C274" s="112"/>
      <c r="D274" s="112"/>
      <c r="E274" s="112"/>
      <c r="F274" s="112"/>
      <c r="G274" s="113"/>
      <c r="H274" s="113"/>
      <c r="I274" s="112"/>
      <c r="J274" s="112"/>
      <c r="K274" s="112"/>
      <c r="L274" s="112"/>
      <c r="M274" s="113" t="s">
        <v>718</v>
      </c>
    </row>
    <row r="275" spans="1:13">
      <c r="A275" s="112"/>
      <c r="B275" s="113"/>
      <c r="C275" s="112"/>
      <c r="D275" s="112"/>
      <c r="E275" s="112"/>
      <c r="F275" s="112"/>
      <c r="G275" s="113"/>
      <c r="H275" s="113"/>
      <c r="I275" s="112"/>
      <c r="J275" s="112"/>
      <c r="K275" s="112"/>
      <c r="L275" s="112"/>
      <c r="M275" s="113" t="s">
        <v>718</v>
      </c>
    </row>
    <row r="276" spans="1:13">
      <c r="A276" s="112"/>
      <c r="B276" s="113"/>
      <c r="C276" s="112"/>
      <c r="D276" s="112"/>
      <c r="E276" s="112"/>
      <c r="F276" s="112"/>
      <c r="G276" s="113"/>
      <c r="H276" s="113"/>
      <c r="I276" s="112"/>
      <c r="J276" s="112"/>
      <c r="K276" s="112"/>
      <c r="L276" s="112"/>
      <c r="M276" s="113" t="s">
        <v>718</v>
      </c>
    </row>
    <row r="277" spans="1:13">
      <c r="A277" s="112"/>
      <c r="B277" s="113"/>
      <c r="C277" s="112"/>
      <c r="D277" s="112"/>
      <c r="E277" s="112"/>
      <c r="F277" s="112"/>
      <c r="G277" s="113"/>
      <c r="H277" s="113"/>
      <c r="I277" s="112"/>
      <c r="J277" s="112"/>
      <c r="K277" s="112"/>
      <c r="L277" s="112"/>
      <c r="M277" s="113" t="s">
        <v>719</v>
      </c>
    </row>
    <row r="278" spans="1:13">
      <c r="A278" s="112"/>
      <c r="B278" s="113"/>
      <c r="C278" s="112"/>
      <c r="D278" s="112"/>
      <c r="E278" s="112"/>
      <c r="F278" s="112"/>
      <c r="G278" s="113"/>
      <c r="H278" s="113"/>
      <c r="I278" s="112"/>
      <c r="J278" s="112"/>
      <c r="K278" s="112"/>
      <c r="L278" s="112"/>
      <c r="M278" s="113" t="s">
        <v>719</v>
      </c>
    </row>
    <row r="279" spans="1:13">
      <c r="A279" s="112"/>
      <c r="B279" s="113"/>
      <c r="C279" s="112"/>
      <c r="D279" s="112"/>
      <c r="E279" s="112"/>
      <c r="F279" s="112"/>
      <c r="G279" s="113"/>
      <c r="H279" s="113"/>
      <c r="I279" s="112"/>
      <c r="J279" s="112"/>
      <c r="K279" s="112"/>
      <c r="L279" s="112"/>
      <c r="M279" s="113" t="s">
        <v>719</v>
      </c>
    </row>
    <row r="280" spans="1:13">
      <c r="A280" s="112"/>
      <c r="B280" s="113"/>
      <c r="C280" s="112"/>
      <c r="D280" s="112"/>
      <c r="E280" s="112"/>
      <c r="F280" s="112"/>
      <c r="G280" s="113"/>
      <c r="H280" s="113"/>
      <c r="I280" s="112"/>
      <c r="J280" s="112"/>
      <c r="K280" s="112"/>
      <c r="L280" s="112"/>
      <c r="M280" s="113" t="s">
        <v>719</v>
      </c>
    </row>
    <row r="281" spans="1:13">
      <c r="A281" s="112"/>
      <c r="B281" s="113"/>
      <c r="C281" s="112"/>
      <c r="D281" s="112"/>
      <c r="E281" s="112"/>
      <c r="F281" s="112"/>
      <c r="G281" s="113"/>
      <c r="H281" s="113"/>
      <c r="I281" s="112"/>
      <c r="J281" s="112"/>
      <c r="K281" s="112"/>
      <c r="L281" s="112"/>
      <c r="M281" s="113" t="s">
        <v>719</v>
      </c>
    </row>
    <row r="282" spans="1:13">
      <c r="A282" s="112"/>
      <c r="B282" s="113"/>
      <c r="C282" s="112"/>
      <c r="D282" s="112"/>
      <c r="E282" s="112"/>
      <c r="F282" s="112"/>
      <c r="G282" s="113"/>
      <c r="H282" s="113"/>
      <c r="I282" s="112"/>
      <c r="J282" s="112"/>
      <c r="K282" s="112"/>
      <c r="L282" s="112"/>
      <c r="M282" s="113" t="s">
        <v>719</v>
      </c>
    </row>
    <row r="283" spans="1:13">
      <c r="A283" s="112"/>
      <c r="B283" s="113"/>
      <c r="C283" s="112"/>
      <c r="D283" s="112"/>
      <c r="E283" s="112"/>
      <c r="F283" s="112"/>
      <c r="G283" s="113"/>
      <c r="H283" s="113"/>
      <c r="I283" s="112"/>
      <c r="J283" s="112"/>
      <c r="K283" s="112"/>
      <c r="L283" s="112"/>
      <c r="M283" s="113" t="s">
        <v>719</v>
      </c>
    </row>
    <row r="284" spans="1:13">
      <c r="A284" s="112"/>
      <c r="B284" s="113"/>
      <c r="C284" s="112"/>
      <c r="D284" s="112"/>
      <c r="E284" s="112"/>
      <c r="F284" s="112"/>
      <c r="G284" s="113"/>
      <c r="H284" s="113"/>
      <c r="I284" s="112"/>
      <c r="J284" s="112"/>
      <c r="K284" s="112"/>
      <c r="L284" s="112"/>
      <c r="M284" s="113" t="s">
        <v>719</v>
      </c>
    </row>
    <row r="285" spans="1:13">
      <c r="A285" s="112"/>
      <c r="B285" s="113"/>
      <c r="C285" s="112"/>
      <c r="D285" s="112"/>
      <c r="E285" s="112"/>
      <c r="F285" s="112"/>
      <c r="G285" s="113"/>
      <c r="H285" s="113"/>
      <c r="I285" s="112"/>
      <c r="J285" s="112"/>
      <c r="K285" s="112"/>
      <c r="L285" s="112"/>
      <c r="M285" s="113" t="s">
        <v>719</v>
      </c>
    </row>
    <row r="286" spans="1:13">
      <c r="A286" s="112"/>
      <c r="B286" s="113"/>
      <c r="C286" s="112"/>
      <c r="D286" s="112"/>
      <c r="E286" s="112"/>
      <c r="F286" s="112"/>
      <c r="G286" s="113"/>
      <c r="H286" s="113"/>
      <c r="I286" s="112"/>
      <c r="J286" s="112"/>
      <c r="K286" s="112"/>
      <c r="L286" s="112"/>
      <c r="M286" s="113" t="s">
        <v>719</v>
      </c>
    </row>
    <row r="287" spans="1:13">
      <c r="A287" s="112"/>
      <c r="B287" s="113"/>
      <c r="C287" s="112"/>
      <c r="D287" s="112"/>
      <c r="E287" s="112"/>
      <c r="F287" s="112"/>
      <c r="G287" s="113"/>
      <c r="H287" s="113"/>
      <c r="I287" s="112"/>
      <c r="J287" s="112"/>
      <c r="K287" s="112"/>
      <c r="L287" s="112"/>
      <c r="M287" s="113" t="s">
        <v>719</v>
      </c>
    </row>
    <row r="288" spans="1:13">
      <c r="A288" s="112"/>
      <c r="B288" s="113"/>
      <c r="C288" s="112"/>
      <c r="D288" s="112"/>
      <c r="E288" s="112"/>
      <c r="F288" s="112"/>
      <c r="G288" s="113"/>
      <c r="H288" s="113"/>
      <c r="I288" s="112"/>
      <c r="J288" s="112"/>
      <c r="K288" s="112"/>
      <c r="L288" s="112"/>
      <c r="M288" s="113" t="s">
        <v>719</v>
      </c>
    </row>
    <row r="289" spans="1:14">
      <c r="A289" s="112"/>
      <c r="B289" s="113"/>
      <c r="C289" s="112"/>
      <c r="D289" s="112"/>
      <c r="E289" s="112"/>
      <c r="F289" s="112"/>
      <c r="G289" s="113"/>
      <c r="H289" s="113"/>
      <c r="I289" s="112"/>
      <c r="J289" s="112"/>
      <c r="K289" s="112"/>
      <c r="L289" s="112"/>
      <c r="M289" s="113" t="s">
        <v>719</v>
      </c>
    </row>
    <row r="290" spans="1:14">
      <c r="A290" s="112"/>
      <c r="B290" s="113"/>
      <c r="C290" s="112"/>
      <c r="D290" s="112"/>
      <c r="E290" s="112"/>
      <c r="F290" s="112"/>
      <c r="G290" s="113"/>
      <c r="H290" s="113"/>
      <c r="I290" s="112"/>
      <c r="J290" s="112"/>
      <c r="K290" s="112"/>
      <c r="L290" s="112"/>
      <c r="M290" s="113" t="s">
        <v>719</v>
      </c>
    </row>
    <row r="291" spans="1:14">
      <c r="A291" s="117">
        <v>1203</v>
      </c>
      <c r="B291" s="117">
        <v>1190</v>
      </c>
      <c r="C291" s="117">
        <v>7790895000454</v>
      </c>
      <c r="D291" s="118" t="s">
        <v>662</v>
      </c>
      <c r="E291" s="82">
        <v>3800.14</v>
      </c>
      <c r="F291" s="82">
        <v>1990</v>
      </c>
      <c r="G291" s="82">
        <f t="shared" ref="G291:G292" si="0">+F291-E291</f>
        <v>-1810.1399999999999</v>
      </c>
      <c r="H291" s="119">
        <v>0</v>
      </c>
      <c r="I291" s="120" t="s">
        <v>18</v>
      </c>
      <c r="J291" s="120" t="s">
        <v>157</v>
      </c>
      <c r="K291" s="121" t="s">
        <v>720</v>
      </c>
      <c r="L291" s="121">
        <v>46218</v>
      </c>
      <c r="M291" s="83" t="s">
        <v>721</v>
      </c>
      <c r="N291" s="83"/>
    </row>
    <row r="292" spans="1:14">
      <c r="A292" s="117">
        <v>1204</v>
      </c>
      <c r="B292" s="117">
        <v>1195</v>
      </c>
      <c r="C292" s="117">
        <v>7790895001017</v>
      </c>
      <c r="D292" s="118" t="s">
        <v>693</v>
      </c>
      <c r="E292" s="82">
        <v>4600.18</v>
      </c>
      <c r="F292" s="82">
        <v>2490</v>
      </c>
      <c r="G292" s="82">
        <f t="shared" si="0"/>
        <v>-2110.1800000000003</v>
      </c>
      <c r="H292" s="119">
        <v>0</v>
      </c>
      <c r="I292" s="120" t="s">
        <v>18</v>
      </c>
      <c r="J292" s="120" t="s">
        <v>157</v>
      </c>
      <c r="K292" s="121" t="s">
        <v>720</v>
      </c>
      <c r="L292" s="121">
        <v>46218</v>
      </c>
      <c r="M292" s="83" t="s">
        <v>721</v>
      </c>
      <c r="N292" s="83"/>
    </row>
    <row r="293" spans="1:14">
      <c r="A293" s="135">
        <v>664757</v>
      </c>
      <c r="B293" s="136">
        <v>30645</v>
      </c>
      <c r="C293" s="135">
        <v>7791813555094</v>
      </c>
      <c r="D293" s="135" t="s">
        <v>722</v>
      </c>
      <c r="E293" s="135">
        <v>3923.08</v>
      </c>
      <c r="F293" s="135">
        <v>2550.002</v>
      </c>
      <c r="G293" s="136">
        <v>-1373.078</v>
      </c>
      <c r="H293" s="136">
        <v>0.35</v>
      </c>
      <c r="I293" s="135" t="s">
        <v>15</v>
      </c>
      <c r="J293" s="135" t="s">
        <v>16</v>
      </c>
      <c r="K293" s="135">
        <v>46206</v>
      </c>
      <c r="L293" s="135">
        <v>46234</v>
      </c>
      <c r="M293" s="136" t="s">
        <v>17</v>
      </c>
    </row>
    <row r="294" spans="1:14">
      <c r="A294" s="135">
        <v>1897</v>
      </c>
      <c r="B294" s="136">
        <v>47489</v>
      </c>
      <c r="C294" s="135">
        <v>7791813423522</v>
      </c>
      <c r="D294" s="135" t="s">
        <v>723</v>
      </c>
      <c r="E294" s="135">
        <v>3923.08</v>
      </c>
      <c r="F294" s="135">
        <v>2550.002</v>
      </c>
      <c r="G294" s="136">
        <v>-1373.078</v>
      </c>
      <c r="H294" s="136">
        <v>0.35</v>
      </c>
      <c r="I294" s="135" t="s">
        <v>15</v>
      </c>
      <c r="J294" s="135" t="s">
        <v>16</v>
      </c>
      <c r="K294" s="135">
        <v>46206</v>
      </c>
      <c r="L294" s="135">
        <v>46234</v>
      </c>
      <c r="M294" s="136" t="s">
        <v>17</v>
      </c>
    </row>
    <row r="295" spans="1:14">
      <c r="A295" s="135">
        <v>667278</v>
      </c>
      <c r="B295" s="136">
        <v>47488</v>
      </c>
      <c r="C295" s="135">
        <v>7791813422389</v>
      </c>
      <c r="D295" s="135" t="s">
        <v>724</v>
      </c>
      <c r="E295" s="135">
        <v>3923.08</v>
      </c>
      <c r="F295" s="135">
        <v>2550.002</v>
      </c>
      <c r="G295" s="136">
        <v>-1373.078</v>
      </c>
      <c r="H295" s="136">
        <v>0.35</v>
      </c>
      <c r="I295" s="135" t="s">
        <v>15</v>
      </c>
      <c r="J295" s="135" t="s">
        <v>16</v>
      </c>
      <c r="K295" s="135">
        <v>46206</v>
      </c>
      <c r="L295" s="135">
        <v>46234</v>
      </c>
      <c r="M295" s="136" t="s">
        <v>17</v>
      </c>
    </row>
    <row r="296" spans="1:14">
      <c r="A296" s="135">
        <v>1917</v>
      </c>
      <c r="B296" s="136">
        <v>7475</v>
      </c>
      <c r="C296" s="135">
        <v>7791813421382</v>
      </c>
      <c r="D296" s="135" t="s">
        <v>725</v>
      </c>
      <c r="E296" s="135">
        <v>3598.33</v>
      </c>
      <c r="F296" s="135">
        <v>2158.998</v>
      </c>
      <c r="G296" s="136">
        <v>-1439.3319999999999</v>
      </c>
      <c r="H296" s="136">
        <v>0.4</v>
      </c>
      <c r="I296" s="135" t="s">
        <v>15</v>
      </c>
      <c r="J296" s="135" t="s">
        <v>726</v>
      </c>
      <c r="K296" s="135">
        <v>46206</v>
      </c>
      <c r="L296" s="135">
        <v>46234</v>
      </c>
      <c r="M296" s="136" t="s">
        <v>17</v>
      </c>
    </row>
    <row r="297" spans="1:14">
      <c r="A297" s="135">
        <v>1905</v>
      </c>
      <c r="B297" s="136">
        <v>7476</v>
      </c>
      <c r="C297" s="135">
        <v>7791813421368</v>
      </c>
      <c r="D297" s="135" t="s">
        <v>727</v>
      </c>
      <c r="E297" s="135">
        <v>3598.33</v>
      </c>
      <c r="F297" s="135">
        <v>2158.998</v>
      </c>
      <c r="G297" s="136">
        <v>-1439.3319999999999</v>
      </c>
      <c r="H297" s="136">
        <v>0.4</v>
      </c>
      <c r="I297" s="135" t="s">
        <v>15</v>
      </c>
      <c r="J297" s="135" t="s">
        <v>726</v>
      </c>
      <c r="K297" s="135">
        <v>46206</v>
      </c>
      <c r="L297" s="135">
        <v>46234</v>
      </c>
      <c r="M297" s="136" t="s">
        <v>17</v>
      </c>
    </row>
    <row r="298" spans="1:14">
      <c r="A298" s="135">
        <v>665735</v>
      </c>
      <c r="B298" s="136">
        <v>30789</v>
      </c>
      <c r="C298" s="135">
        <v>7791813828464</v>
      </c>
      <c r="D298" s="135" t="s">
        <v>728</v>
      </c>
      <c r="E298" s="135">
        <v>3980</v>
      </c>
      <c r="F298" s="135">
        <v>1990</v>
      </c>
      <c r="G298" s="136">
        <v>-1990</v>
      </c>
      <c r="H298" s="136">
        <v>0.5</v>
      </c>
      <c r="I298" s="135" t="s">
        <v>15</v>
      </c>
      <c r="J298" s="135" t="s">
        <v>640</v>
      </c>
      <c r="K298" s="135">
        <v>46206</v>
      </c>
      <c r="L298" s="135">
        <v>46234</v>
      </c>
      <c r="M298" s="136" t="s">
        <v>17</v>
      </c>
    </row>
    <row r="299" spans="1:14">
      <c r="A299" s="135">
        <v>14149</v>
      </c>
      <c r="B299" s="136">
        <v>30648</v>
      </c>
      <c r="C299" s="135">
        <v>7791813050117</v>
      </c>
      <c r="D299" s="135" t="s">
        <v>729</v>
      </c>
      <c r="E299" s="135">
        <v>1980</v>
      </c>
      <c r="F299" s="135">
        <v>990</v>
      </c>
      <c r="G299" s="136">
        <v>-990</v>
      </c>
      <c r="H299" s="136">
        <v>0.5</v>
      </c>
      <c r="I299" s="135" t="s">
        <v>15</v>
      </c>
      <c r="J299" s="135" t="s">
        <v>640</v>
      </c>
      <c r="K299" s="135">
        <v>46206</v>
      </c>
      <c r="L299" s="135">
        <v>46234</v>
      </c>
      <c r="M299" s="136" t="s">
        <v>17</v>
      </c>
    </row>
    <row r="300" spans="1:14">
      <c r="A300" s="135">
        <v>18223</v>
      </c>
      <c r="B300" s="136">
        <v>30793</v>
      </c>
      <c r="C300" s="135">
        <v>7791813050995</v>
      </c>
      <c r="D300" s="135" t="s">
        <v>730</v>
      </c>
      <c r="E300" s="135">
        <v>1980</v>
      </c>
      <c r="F300" s="135">
        <v>990</v>
      </c>
      <c r="G300" s="136">
        <v>-990</v>
      </c>
      <c r="H300" s="136">
        <v>0.5</v>
      </c>
      <c r="I300" s="135" t="s">
        <v>15</v>
      </c>
      <c r="J300" s="135" t="s">
        <v>640</v>
      </c>
      <c r="K300" s="135">
        <v>46206</v>
      </c>
      <c r="L300" s="135">
        <v>46234</v>
      </c>
      <c r="M300" s="136" t="s">
        <v>17</v>
      </c>
    </row>
    <row r="301" spans="1:14">
      <c r="A301" s="135">
        <v>865</v>
      </c>
      <c r="B301" s="136">
        <v>14933</v>
      </c>
      <c r="C301" s="135">
        <v>7792799000011</v>
      </c>
      <c r="D301" s="135" t="s">
        <v>731</v>
      </c>
      <c r="E301" s="135">
        <v>2247.5</v>
      </c>
      <c r="F301" s="135">
        <v>1123.75</v>
      </c>
      <c r="G301" s="136">
        <v>-1123.75</v>
      </c>
      <c r="H301" s="136">
        <v>0.5</v>
      </c>
      <c r="I301" s="135" t="s">
        <v>15</v>
      </c>
      <c r="J301" s="135" t="s">
        <v>640</v>
      </c>
      <c r="K301" s="135">
        <v>46206</v>
      </c>
      <c r="L301" s="135">
        <v>46234</v>
      </c>
      <c r="M301" s="136" t="s">
        <v>17</v>
      </c>
    </row>
    <row r="302" spans="1:14">
      <c r="A302" s="135">
        <v>863</v>
      </c>
      <c r="B302" s="136">
        <v>2439</v>
      </c>
      <c r="C302" s="135">
        <v>7792799000059</v>
      </c>
      <c r="D302" s="135" t="s">
        <v>732</v>
      </c>
      <c r="E302" s="135">
        <v>3000</v>
      </c>
      <c r="F302" s="135">
        <v>1500</v>
      </c>
      <c r="G302" s="136">
        <v>-1500</v>
      </c>
      <c r="H302" s="136">
        <v>0.5</v>
      </c>
      <c r="I302" s="135" t="s">
        <v>15</v>
      </c>
      <c r="J302" s="135" t="s">
        <v>640</v>
      </c>
      <c r="K302" s="135">
        <v>46206</v>
      </c>
      <c r="L302" s="135">
        <v>46234</v>
      </c>
      <c r="M302" s="136" t="s">
        <v>17</v>
      </c>
    </row>
  </sheetData>
  <conditionalFormatting sqref="C1:D1 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B468-DF74-4389-8976-348A738DC311}">
  <dimension ref="A1:K128"/>
  <sheetViews>
    <sheetView workbookViewId="0">
      <selection activeCell="E96" sqref="E96:F96"/>
    </sheetView>
  </sheetViews>
  <sheetFormatPr baseColWidth="10" defaultRowHeight="12"/>
  <cols>
    <col min="1" max="1" width="12.140625" style="7" bestFit="1" customWidth="1"/>
    <col min="2" max="2" width="25" style="7" bestFit="1" customWidth="1"/>
    <col min="3" max="3" width="60.140625" style="7" bestFit="1" customWidth="1"/>
    <col min="4" max="4" width="10.140625" style="7" bestFit="1" customWidth="1"/>
    <col min="5" max="5" width="10.28515625" style="7" bestFit="1" customWidth="1"/>
    <col min="6" max="6" width="9.28515625" style="7" bestFit="1" customWidth="1"/>
    <col min="7" max="8" width="9" style="7" bestFit="1" customWidth="1"/>
    <col min="9" max="9" width="18" style="7" bestFit="1" customWidth="1"/>
    <col min="10" max="10" width="22" style="7" bestFit="1" customWidth="1"/>
    <col min="11" max="11" width="18" style="7" bestFit="1" customWidth="1"/>
    <col min="12" max="16384" width="11.42578125" style="7"/>
  </cols>
  <sheetData>
    <row r="1" spans="1:11" s="68" customFormat="1">
      <c r="A1" s="65" t="s">
        <v>536</v>
      </c>
      <c r="B1" s="69" t="s">
        <v>328</v>
      </c>
      <c r="C1" s="65" t="s">
        <v>329</v>
      </c>
      <c r="D1" s="66" t="s">
        <v>330</v>
      </c>
      <c r="E1" s="66" t="s">
        <v>331</v>
      </c>
      <c r="F1" s="66" t="s">
        <v>332</v>
      </c>
      <c r="G1" s="67" t="s">
        <v>10</v>
      </c>
      <c r="H1" s="67" t="s">
        <v>11</v>
      </c>
      <c r="I1" s="65" t="s">
        <v>333</v>
      </c>
      <c r="J1" s="65" t="s">
        <v>334</v>
      </c>
      <c r="K1" s="65" t="s">
        <v>335</v>
      </c>
    </row>
    <row r="2" spans="1:11">
      <c r="A2" s="11" t="s">
        <v>539</v>
      </c>
      <c r="B2" s="11" t="s">
        <v>352</v>
      </c>
      <c r="C2" s="11" t="s">
        <v>353</v>
      </c>
      <c r="D2" s="13">
        <v>18014.100999999999</v>
      </c>
      <c r="E2" s="13">
        <v>13213.92</v>
      </c>
      <c r="F2" s="56">
        <f t="shared" ref="F2:F33" si="0">+E2-D2</f>
        <v>-4800.1809999999987</v>
      </c>
      <c r="G2" s="12">
        <v>46204</v>
      </c>
      <c r="H2" s="12">
        <v>46234</v>
      </c>
      <c r="I2" s="11" t="s">
        <v>338</v>
      </c>
      <c r="J2" s="11" t="s">
        <v>349</v>
      </c>
      <c r="K2" s="11" t="s">
        <v>340</v>
      </c>
    </row>
    <row r="3" spans="1:11">
      <c r="A3" s="11" t="s">
        <v>540</v>
      </c>
      <c r="B3" s="11" t="s">
        <v>354</v>
      </c>
      <c r="C3" s="11" t="s">
        <v>355</v>
      </c>
      <c r="D3" s="13">
        <v>24600.181</v>
      </c>
      <c r="E3" s="13">
        <v>19800</v>
      </c>
      <c r="F3" s="56">
        <f t="shared" si="0"/>
        <v>-4800.1810000000005</v>
      </c>
      <c r="G3" s="12">
        <v>46204</v>
      </c>
      <c r="H3" s="12">
        <v>46234</v>
      </c>
      <c r="I3" s="11" t="s">
        <v>338</v>
      </c>
      <c r="J3" s="11" t="s">
        <v>349</v>
      </c>
      <c r="K3" s="11" t="s">
        <v>340</v>
      </c>
    </row>
    <row r="4" spans="1:11">
      <c r="A4" s="11" t="s">
        <v>541</v>
      </c>
      <c r="B4" s="11" t="s">
        <v>537</v>
      </c>
      <c r="C4" s="11" t="s">
        <v>538</v>
      </c>
      <c r="D4" s="13">
        <f>19900+4800.18</f>
        <v>24700.18</v>
      </c>
      <c r="E4" s="13">
        <v>19900</v>
      </c>
      <c r="F4" s="56">
        <f t="shared" si="0"/>
        <v>-4800.18</v>
      </c>
      <c r="G4" s="12">
        <v>46204</v>
      </c>
      <c r="H4" s="12">
        <v>46234</v>
      </c>
      <c r="I4" s="11" t="s">
        <v>338</v>
      </c>
      <c r="J4" s="11" t="s">
        <v>349</v>
      </c>
      <c r="K4" s="11" t="s">
        <v>340</v>
      </c>
    </row>
    <row r="5" spans="1:11">
      <c r="A5" s="11" t="s">
        <v>542</v>
      </c>
      <c r="B5" s="11" t="s">
        <v>361</v>
      </c>
      <c r="C5" s="11" t="s">
        <v>362</v>
      </c>
      <c r="D5" s="13">
        <v>11654.242999999999</v>
      </c>
      <c r="E5" s="13">
        <v>6854.0619999999999</v>
      </c>
      <c r="F5" s="56">
        <f t="shared" si="0"/>
        <v>-4800.1809999999987</v>
      </c>
      <c r="G5" s="12">
        <v>46204</v>
      </c>
      <c r="H5" s="12">
        <v>46234</v>
      </c>
      <c r="I5" s="11" t="s">
        <v>338</v>
      </c>
      <c r="J5" s="11" t="s">
        <v>339</v>
      </c>
      <c r="K5" s="11" t="s">
        <v>340</v>
      </c>
    </row>
    <row r="6" spans="1:11">
      <c r="A6" s="11" t="s">
        <v>543</v>
      </c>
      <c r="B6" s="11" t="s">
        <v>363</v>
      </c>
      <c r="C6" s="11" t="s">
        <v>364</v>
      </c>
      <c r="D6" s="13">
        <v>14803.411</v>
      </c>
      <c r="E6" s="13">
        <v>10003.23</v>
      </c>
      <c r="F6" s="56">
        <f t="shared" si="0"/>
        <v>-4800.1810000000005</v>
      </c>
      <c r="G6" s="12">
        <v>46204</v>
      </c>
      <c r="H6" s="12">
        <v>46234</v>
      </c>
      <c r="I6" s="11" t="s">
        <v>338</v>
      </c>
      <c r="J6" s="11" t="s">
        <v>339</v>
      </c>
      <c r="K6" s="11" t="s">
        <v>340</v>
      </c>
    </row>
    <row r="7" spans="1:11">
      <c r="A7" s="11" t="s">
        <v>544</v>
      </c>
      <c r="B7" s="11" t="s">
        <v>365</v>
      </c>
      <c r="C7" s="11" t="s">
        <v>366</v>
      </c>
      <c r="D7" s="13">
        <v>31317.651000000002</v>
      </c>
      <c r="E7" s="13">
        <v>26517.47</v>
      </c>
      <c r="F7" s="56">
        <f t="shared" si="0"/>
        <v>-4800.1810000000005</v>
      </c>
      <c r="G7" s="12">
        <v>46204</v>
      </c>
      <c r="H7" s="12">
        <v>46234</v>
      </c>
      <c r="I7" s="11" t="s">
        <v>338</v>
      </c>
      <c r="J7" s="11" t="s">
        <v>349</v>
      </c>
      <c r="K7" s="11" t="s">
        <v>340</v>
      </c>
    </row>
    <row r="8" spans="1:11">
      <c r="A8" s="11" t="s">
        <v>545</v>
      </c>
      <c r="B8" s="11" t="s">
        <v>376</v>
      </c>
      <c r="C8" s="11" t="s">
        <v>377</v>
      </c>
      <c r="D8" s="13">
        <v>10913.759999999998</v>
      </c>
      <c r="E8" s="13">
        <v>6113.5789999999997</v>
      </c>
      <c r="F8" s="56">
        <f t="shared" si="0"/>
        <v>-4800.1809999999987</v>
      </c>
      <c r="G8" s="12">
        <v>46204</v>
      </c>
      <c r="H8" s="12">
        <v>46234</v>
      </c>
      <c r="I8" s="11" t="s">
        <v>338</v>
      </c>
      <c r="J8" s="11" t="s">
        <v>349</v>
      </c>
      <c r="K8" s="11" t="s">
        <v>340</v>
      </c>
    </row>
    <row r="9" spans="1:11">
      <c r="A9" s="11" t="s">
        <v>546</v>
      </c>
      <c r="B9" s="11" t="s">
        <v>454</v>
      </c>
      <c r="C9" s="11" t="s">
        <v>455</v>
      </c>
      <c r="D9" s="13">
        <v>15802.710999999999</v>
      </c>
      <c r="E9" s="13">
        <v>11002.53</v>
      </c>
      <c r="F9" s="56">
        <f t="shared" si="0"/>
        <v>-4800.1809999999987</v>
      </c>
      <c r="G9" s="12">
        <v>46204</v>
      </c>
      <c r="H9" s="12">
        <v>46234</v>
      </c>
      <c r="I9" s="11" t="s">
        <v>338</v>
      </c>
      <c r="J9" s="11" t="s">
        <v>400</v>
      </c>
      <c r="K9" s="11" t="s">
        <v>340</v>
      </c>
    </row>
    <row r="10" spans="1:11">
      <c r="A10" s="11" t="s">
        <v>547</v>
      </c>
      <c r="B10" s="11" t="s">
        <v>336</v>
      </c>
      <c r="C10" s="11" t="s">
        <v>337</v>
      </c>
      <c r="D10" s="13">
        <v>13349.124</v>
      </c>
      <c r="E10" s="13">
        <v>8749</v>
      </c>
      <c r="F10" s="56">
        <f t="shared" si="0"/>
        <v>-4600.1239999999998</v>
      </c>
      <c r="G10" s="12">
        <v>46204</v>
      </c>
      <c r="H10" s="12">
        <v>46234</v>
      </c>
      <c r="I10" s="11" t="s">
        <v>338</v>
      </c>
      <c r="J10" s="11" t="s">
        <v>339</v>
      </c>
      <c r="K10" s="11" t="s">
        <v>340</v>
      </c>
    </row>
    <row r="11" spans="1:11">
      <c r="A11" s="11" t="s">
        <v>548</v>
      </c>
      <c r="B11" s="11" t="s">
        <v>356</v>
      </c>
      <c r="C11" s="11" t="s">
        <v>357</v>
      </c>
      <c r="D11" s="13">
        <v>10449.124</v>
      </c>
      <c r="E11" s="13">
        <v>5849</v>
      </c>
      <c r="F11" s="56">
        <f t="shared" si="0"/>
        <v>-4600.1239999999998</v>
      </c>
      <c r="G11" s="12">
        <v>46204</v>
      </c>
      <c r="H11" s="12">
        <v>46234</v>
      </c>
      <c r="I11" s="11" t="s">
        <v>338</v>
      </c>
      <c r="J11" s="11" t="s">
        <v>339</v>
      </c>
      <c r="K11" s="11" t="s">
        <v>340</v>
      </c>
    </row>
    <row r="12" spans="1:11">
      <c r="A12" s="11" t="s">
        <v>549</v>
      </c>
      <c r="B12" s="11" t="s">
        <v>396</v>
      </c>
      <c r="C12" s="11" t="s">
        <v>397</v>
      </c>
      <c r="D12" s="13">
        <v>8151.0209999999997</v>
      </c>
      <c r="E12" s="13">
        <v>3550.8969999999999</v>
      </c>
      <c r="F12" s="56">
        <f t="shared" si="0"/>
        <v>-4600.1239999999998</v>
      </c>
      <c r="G12" s="12">
        <v>46204</v>
      </c>
      <c r="H12" s="12">
        <v>46234</v>
      </c>
      <c r="I12" s="11" t="s">
        <v>338</v>
      </c>
      <c r="J12" s="11" t="s">
        <v>346</v>
      </c>
      <c r="K12" s="11" t="s">
        <v>340</v>
      </c>
    </row>
    <row r="13" spans="1:11">
      <c r="A13" s="11" t="s">
        <v>550</v>
      </c>
      <c r="B13" s="11" t="s">
        <v>534</v>
      </c>
      <c r="C13" s="11" t="s">
        <v>535</v>
      </c>
      <c r="D13" s="13">
        <v>8455.5149999999994</v>
      </c>
      <c r="E13" s="13">
        <v>3855.3910000000001</v>
      </c>
      <c r="F13" s="56">
        <f t="shared" si="0"/>
        <v>-4600.1239999999998</v>
      </c>
      <c r="G13" s="12">
        <v>46204</v>
      </c>
      <c r="H13" s="12">
        <v>46234</v>
      </c>
      <c r="I13" s="11" t="s">
        <v>338</v>
      </c>
      <c r="J13" s="11"/>
      <c r="K13" s="11" t="s">
        <v>340</v>
      </c>
    </row>
    <row r="14" spans="1:11">
      <c r="A14" s="11" t="s">
        <v>551</v>
      </c>
      <c r="B14" s="11" t="s">
        <v>347</v>
      </c>
      <c r="C14" s="11" t="s">
        <v>348</v>
      </c>
      <c r="D14" s="13">
        <v>12118.106</v>
      </c>
      <c r="E14" s="13">
        <v>8615.0159999999996</v>
      </c>
      <c r="F14" s="56">
        <f t="shared" si="0"/>
        <v>-3503.09</v>
      </c>
      <c r="G14" s="12">
        <v>46204</v>
      </c>
      <c r="H14" s="12">
        <v>46234</v>
      </c>
      <c r="I14" s="11" t="s">
        <v>338</v>
      </c>
      <c r="J14" s="11" t="s">
        <v>349</v>
      </c>
      <c r="K14" s="11" t="s">
        <v>340</v>
      </c>
    </row>
    <row r="15" spans="1:11">
      <c r="A15" s="11" t="s">
        <v>552</v>
      </c>
      <c r="B15" s="11" t="s">
        <v>350</v>
      </c>
      <c r="C15" s="11" t="s">
        <v>351</v>
      </c>
      <c r="D15" s="13">
        <v>16494.78</v>
      </c>
      <c r="E15" s="13">
        <v>12991.69</v>
      </c>
      <c r="F15" s="56">
        <f t="shared" si="0"/>
        <v>-3503.0899999999983</v>
      </c>
      <c r="G15" s="12">
        <v>46204</v>
      </c>
      <c r="H15" s="12">
        <v>46234</v>
      </c>
      <c r="I15" s="11" t="s">
        <v>338</v>
      </c>
      <c r="J15" s="11" t="s">
        <v>349</v>
      </c>
      <c r="K15" s="11" t="s">
        <v>340</v>
      </c>
    </row>
    <row r="16" spans="1:11">
      <c r="A16" s="11" t="s">
        <v>553</v>
      </c>
      <c r="B16" s="11" t="s">
        <v>358</v>
      </c>
      <c r="C16" s="11" t="s">
        <v>359</v>
      </c>
      <c r="D16" s="13">
        <v>38370.399999999994</v>
      </c>
      <c r="E16" s="13">
        <v>34867.31</v>
      </c>
      <c r="F16" s="56">
        <f t="shared" si="0"/>
        <v>-3503.0899999999965</v>
      </c>
      <c r="G16" s="12">
        <v>46204</v>
      </c>
      <c r="H16" s="12">
        <v>46234</v>
      </c>
      <c r="I16" s="11" t="s">
        <v>338</v>
      </c>
      <c r="J16" s="11" t="s">
        <v>360</v>
      </c>
      <c r="K16" s="11" t="s">
        <v>340</v>
      </c>
    </row>
    <row r="17" spans="1:11">
      <c r="A17" s="11" t="s">
        <v>554</v>
      </c>
      <c r="B17" s="11" t="s">
        <v>367</v>
      </c>
      <c r="C17" s="11" t="s">
        <v>368</v>
      </c>
      <c r="D17" s="13">
        <v>20304.009999999998</v>
      </c>
      <c r="E17" s="13">
        <v>16800.919999999998</v>
      </c>
      <c r="F17" s="56">
        <f t="shared" si="0"/>
        <v>-3503.09</v>
      </c>
      <c r="G17" s="12">
        <v>46204</v>
      </c>
      <c r="H17" s="12">
        <v>46234</v>
      </c>
      <c r="I17" s="11" t="s">
        <v>338</v>
      </c>
      <c r="J17" s="11" t="s">
        <v>369</v>
      </c>
      <c r="K17" s="11" t="s">
        <v>340</v>
      </c>
    </row>
    <row r="18" spans="1:11">
      <c r="A18" s="11" t="s">
        <v>555</v>
      </c>
      <c r="B18" s="11" t="s">
        <v>378</v>
      </c>
      <c r="C18" s="11" t="s">
        <v>379</v>
      </c>
      <c r="D18" s="13">
        <v>11925.623</v>
      </c>
      <c r="E18" s="13">
        <v>8422.5329999999994</v>
      </c>
      <c r="F18" s="56">
        <f t="shared" si="0"/>
        <v>-3503.09</v>
      </c>
      <c r="G18" s="12">
        <v>46204</v>
      </c>
      <c r="H18" s="12">
        <v>46234</v>
      </c>
      <c r="I18" s="11" t="s">
        <v>338</v>
      </c>
      <c r="J18" s="11" t="s">
        <v>339</v>
      </c>
      <c r="K18" s="11" t="s">
        <v>340</v>
      </c>
    </row>
    <row r="19" spans="1:11">
      <c r="A19" s="11" t="s">
        <v>556</v>
      </c>
      <c r="B19" s="11" t="s">
        <v>398</v>
      </c>
      <c r="C19" s="11" t="s">
        <v>399</v>
      </c>
      <c r="D19" s="13">
        <v>9540.4650000000001</v>
      </c>
      <c r="E19" s="13">
        <v>6037.375</v>
      </c>
      <c r="F19" s="56">
        <f t="shared" si="0"/>
        <v>-3503.09</v>
      </c>
      <c r="G19" s="12">
        <v>46204</v>
      </c>
      <c r="H19" s="12">
        <v>46234</v>
      </c>
      <c r="I19" s="11" t="s">
        <v>338</v>
      </c>
      <c r="J19" s="11" t="s">
        <v>400</v>
      </c>
      <c r="K19" s="11" t="s">
        <v>340</v>
      </c>
    </row>
    <row r="20" spans="1:11">
      <c r="A20" s="11" t="s">
        <v>557</v>
      </c>
      <c r="B20" s="11" t="s">
        <v>401</v>
      </c>
      <c r="C20" s="11" t="s">
        <v>402</v>
      </c>
      <c r="D20" s="13">
        <v>34216.03</v>
      </c>
      <c r="E20" s="13">
        <v>30712.94</v>
      </c>
      <c r="F20" s="56">
        <f t="shared" si="0"/>
        <v>-3503.09</v>
      </c>
      <c r="G20" s="12">
        <v>46204</v>
      </c>
      <c r="H20" s="12">
        <v>46234</v>
      </c>
      <c r="I20" s="11" t="s">
        <v>338</v>
      </c>
      <c r="J20" s="11" t="s">
        <v>400</v>
      </c>
      <c r="K20" s="11" t="s">
        <v>340</v>
      </c>
    </row>
    <row r="21" spans="1:11">
      <c r="A21" s="11" t="s">
        <v>558</v>
      </c>
      <c r="B21" s="11" t="s">
        <v>407</v>
      </c>
      <c r="C21" s="11" t="s">
        <v>408</v>
      </c>
      <c r="D21" s="13">
        <v>16988.09</v>
      </c>
      <c r="E21" s="13">
        <v>13485</v>
      </c>
      <c r="F21" s="56">
        <f t="shared" si="0"/>
        <v>-3503.09</v>
      </c>
      <c r="G21" s="12">
        <v>46204</v>
      </c>
      <c r="H21" s="12">
        <v>46234</v>
      </c>
      <c r="I21" s="11" t="s">
        <v>338</v>
      </c>
      <c r="J21" s="11" t="s">
        <v>409</v>
      </c>
      <c r="K21" s="11" t="s">
        <v>340</v>
      </c>
    </row>
    <row r="22" spans="1:11">
      <c r="A22" s="11" t="s">
        <v>559</v>
      </c>
      <c r="B22" s="11" t="s">
        <v>410</v>
      </c>
      <c r="C22" s="11" t="s">
        <v>411</v>
      </c>
      <c r="D22" s="13">
        <v>14523.09</v>
      </c>
      <c r="E22" s="13">
        <v>11020</v>
      </c>
      <c r="F22" s="56">
        <f t="shared" si="0"/>
        <v>-3503.09</v>
      </c>
      <c r="G22" s="12">
        <v>46204</v>
      </c>
      <c r="H22" s="12">
        <v>46234</v>
      </c>
      <c r="I22" s="11" t="s">
        <v>338</v>
      </c>
      <c r="J22" s="11" t="s">
        <v>409</v>
      </c>
      <c r="K22" s="11" t="s">
        <v>340</v>
      </c>
    </row>
    <row r="23" spans="1:11">
      <c r="A23" s="11" t="s">
        <v>560</v>
      </c>
      <c r="B23" s="11" t="s">
        <v>412</v>
      </c>
      <c r="C23" s="11" t="s">
        <v>413</v>
      </c>
      <c r="D23" s="13">
        <v>14523.09</v>
      </c>
      <c r="E23" s="13">
        <v>11020</v>
      </c>
      <c r="F23" s="56">
        <f t="shared" si="0"/>
        <v>-3503.09</v>
      </c>
      <c r="G23" s="12">
        <v>46204</v>
      </c>
      <c r="H23" s="12">
        <v>46234</v>
      </c>
      <c r="I23" s="11" t="s">
        <v>338</v>
      </c>
      <c r="J23" s="11" t="s">
        <v>409</v>
      </c>
      <c r="K23" s="11" t="s">
        <v>340</v>
      </c>
    </row>
    <row r="24" spans="1:11">
      <c r="A24" s="11" t="s">
        <v>561</v>
      </c>
      <c r="B24" s="11" t="s">
        <v>414</v>
      </c>
      <c r="C24" s="11" t="s">
        <v>415</v>
      </c>
      <c r="D24" s="13">
        <v>14523.09</v>
      </c>
      <c r="E24" s="13">
        <v>11020</v>
      </c>
      <c r="F24" s="56">
        <f t="shared" si="0"/>
        <v>-3503.09</v>
      </c>
      <c r="G24" s="12">
        <v>46204</v>
      </c>
      <c r="H24" s="12">
        <v>46234</v>
      </c>
      <c r="I24" s="11" t="s">
        <v>338</v>
      </c>
      <c r="J24" s="11" t="s">
        <v>409</v>
      </c>
      <c r="K24" s="11" t="s">
        <v>340</v>
      </c>
    </row>
    <row r="25" spans="1:11">
      <c r="A25" s="11" t="s">
        <v>562</v>
      </c>
      <c r="B25" s="11" t="s">
        <v>416</v>
      </c>
      <c r="C25" s="11" t="s">
        <v>417</v>
      </c>
      <c r="D25" s="13">
        <v>14523.09</v>
      </c>
      <c r="E25" s="13">
        <v>11020</v>
      </c>
      <c r="F25" s="56">
        <f t="shared" si="0"/>
        <v>-3503.09</v>
      </c>
      <c r="G25" s="12">
        <v>46204</v>
      </c>
      <c r="H25" s="12">
        <v>46234</v>
      </c>
      <c r="I25" s="11" t="s">
        <v>338</v>
      </c>
      <c r="J25" s="11" t="s">
        <v>409</v>
      </c>
      <c r="K25" s="11" t="s">
        <v>340</v>
      </c>
    </row>
    <row r="26" spans="1:11">
      <c r="A26" s="11" t="s">
        <v>563</v>
      </c>
      <c r="B26" s="11" t="s">
        <v>424</v>
      </c>
      <c r="C26" s="11" t="s">
        <v>425</v>
      </c>
      <c r="D26" s="13">
        <v>45364.28</v>
      </c>
      <c r="E26" s="13">
        <v>41861.19</v>
      </c>
      <c r="F26" s="56">
        <f t="shared" si="0"/>
        <v>-3503.0899999999965</v>
      </c>
      <c r="G26" s="12">
        <v>46204</v>
      </c>
      <c r="H26" s="12">
        <v>46234</v>
      </c>
      <c r="I26" s="11" t="s">
        <v>338</v>
      </c>
      <c r="J26" s="11" t="s">
        <v>360</v>
      </c>
      <c r="K26" s="11" t="s">
        <v>340</v>
      </c>
    </row>
    <row r="27" spans="1:11">
      <c r="A27" s="11" t="s">
        <v>564</v>
      </c>
      <c r="B27" s="11" t="s">
        <v>426</v>
      </c>
      <c r="C27" s="11" t="s">
        <v>427</v>
      </c>
      <c r="D27" s="13">
        <v>19378.38</v>
      </c>
      <c r="E27" s="13">
        <v>15875.29</v>
      </c>
      <c r="F27" s="56">
        <f t="shared" si="0"/>
        <v>-3503.09</v>
      </c>
      <c r="G27" s="12">
        <v>46204</v>
      </c>
      <c r="H27" s="12">
        <v>46234</v>
      </c>
      <c r="I27" s="11" t="s">
        <v>338</v>
      </c>
      <c r="J27" s="11" t="s">
        <v>360</v>
      </c>
      <c r="K27" s="11" t="s">
        <v>340</v>
      </c>
    </row>
    <row r="28" spans="1:11">
      <c r="A28" s="11" t="s">
        <v>565</v>
      </c>
      <c r="B28" s="11" t="s">
        <v>428</v>
      </c>
      <c r="C28" s="11" t="s">
        <v>429</v>
      </c>
      <c r="D28" s="13">
        <v>86588.33</v>
      </c>
      <c r="E28" s="13">
        <v>83085.240000000005</v>
      </c>
      <c r="F28" s="56">
        <f t="shared" si="0"/>
        <v>-3503.0899999999965</v>
      </c>
      <c r="G28" s="12">
        <v>46204</v>
      </c>
      <c r="H28" s="12">
        <v>46234</v>
      </c>
      <c r="I28" s="11" t="s">
        <v>338</v>
      </c>
      <c r="J28" s="11" t="s">
        <v>400</v>
      </c>
      <c r="K28" s="11" t="s">
        <v>340</v>
      </c>
    </row>
    <row r="29" spans="1:11">
      <c r="A29" s="11" t="s">
        <v>566</v>
      </c>
      <c r="B29" s="11" t="s">
        <v>430</v>
      </c>
      <c r="C29" s="11" t="s">
        <v>431</v>
      </c>
      <c r="D29" s="13">
        <v>40023.25</v>
      </c>
      <c r="E29" s="13">
        <v>36520.160000000003</v>
      </c>
      <c r="F29" s="56">
        <f t="shared" si="0"/>
        <v>-3503.0899999999965</v>
      </c>
      <c r="G29" s="12">
        <v>46204</v>
      </c>
      <c r="H29" s="12">
        <v>46234</v>
      </c>
      <c r="I29" s="11" t="s">
        <v>338</v>
      </c>
      <c r="J29" s="11" t="s">
        <v>400</v>
      </c>
      <c r="K29" s="11" t="s">
        <v>340</v>
      </c>
    </row>
    <row r="30" spans="1:11">
      <c r="A30" s="11" t="s">
        <v>567</v>
      </c>
      <c r="B30" s="11" t="s">
        <v>432</v>
      </c>
      <c r="C30" s="11" t="s">
        <v>433</v>
      </c>
      <c r="D30" s="13">
        <v>40024.899999999994</v>
      </c>
      <c r="E30" s="13">
        <v>36521.81</v>
      </c>
      <c r="F30" s="56">
        <f t="shared" si="0"/>
        <v>-3503.0899999999965</v>
      </c>
      <c r="G30" s="12">
        <v>46204</v>
      </c>
      <c r="H30" s="12">
        <v>46234</v>
      </c>
      <c r="I30" s="11" t="s">
        <v>338</v>
      </c>
      <c r="J30" s="11" t="s">
        <v>400</v>
      </c>
      <c r="K30" s="11" t="s">
        <v>340</v>
      </c>
    </row>
    <row r="31" spans="1:11">
      <c r="A31" s="11" t="s">
        <v>568</v>
      </c>
      <c r="B31" s="11" t="s">
        <v>434</v>
      </c>
      <c r="C31" s="11" t="s">
        <v>435</v>
      </c>
      <c r="D31" s="13">
        <v>66592.710000000006</v>
      </c>
      <c r="E31" s="13">
        <v>63089.62</v>
      </c>
      <c r="F31" s="56">
        <f t="shared" si="0"/>
        <v>-3503.0900000000038</v>
      </c>
      <c r="G31" s="12">
        <v>46204</v>
      </c>
      <c r="H31" s="12">
        <v>46234</v>
      </c>
      <c r="I31" s="11" t="s">
        <v>338</v>
      </c>
      <c r="J31" s="11" t="s">
        <v>339</v>
      </c>
      <c r="K31" s="11" t="s">
        <v>340</v>
      </c>
    </row>
    <row r="32" spans="1:11">
      <c r="A32" s="11" t="s">
        <v>569</v>
      </c>
      <c r="B32" s="11" t="s">
        <v>442</v>
      </c>
      <c r="C32" s="11" t="s">
        <v>443</v>
      </c>
      <c r="D32" s="13">
        <v>11870.654</v>
      </c>
      <c r="E32" s="13">
        <v>8367.5640000000003</v>
      </c>
      <c r="F32" s="56">
        <f t="shared" si="0"/>
        <v>-3503.09</v>
      </c>
      <c r="G32" s="12">
        <v>46204</v>
      </c>
      <c r="H32" s="12">
        <v>46234</v>
      </c>
      <c r="I32" s="11" t="s">
        <v>338</v>
      </c>
      <c r="J32" s="11" t="s">
        <v>349</v>
      </c>
      <c r="K32" s="11" t="s">
        <v>340</v>
      </c>
    </row>
    <row r="33" spans="1:11">
      <c r="A33" s="11" t="s">
        <v>570</v>
      </c>
      <c r="B33" s="11" t="s">
        <v>448</v>
      </c>
      <c r="C33" s="11" t="s">
        <v>449</v>
      </c>
      <c r="D33" s="13">
        <v>15564.14</v>
      </c>
      <c r="E33" s="13">
        <v>12061.05</v>
      </c>
      <c r="F33" s="56">
        <f t="shared" si="0"/>
        <v>-3503.09</v>
      </c>
      <c r="G33" s="12">
        <v>46204</v>
      </c>
      <c r="H33" s="12">
        <v>46234</v>
      </c>
      <c r="I33" s="11" t="s">
        <v>338</v>
      </c>
      <c r="J33" s="11" t="s">
        <v>400</v>
      </c>
      <c r="K33" s="11" t="s">
        <v>340</v>
      </c>
    </row>
    <row r="34" spans="1:11">
      <c r="A34" s="11" t="s">
        <v>571</v>
      </c>
      <c r="B34" s="11" t="s">
        <v>450</v>
      </c>
      <c r="C34" s="11" t="s">
        <v>451</v>
      </c>
      <c r="D34" s="13">
        <v>13073.098</v>
      </c>
      <c r="E34" s="13">
        <v>9570.0079999999998</v>
      </c>
      <c r="F34" s="56">
        <f t="shared" ref="F34:F65" si="1">+E34-D34</f>
        <v>-3503.09</v>
      </c>
      <c r="G34" s="12">
        <v>46204</v>
      </c>
      <c r="H34" s="12">
        <v>46234</v>
      </c>
      <c r="I34" s="11" t="s">
        <v>338</v>
      </c>
      <c r="J34" s="11" t="s">
        <v>409</v>
      </c>
      <c r="K34" s="11" t="s">
        <v>340</v>
      </c>
    </row>
    <row r="35" spans="1:11">
      <c r="A35" s="11" t="s">
        <v>572</v>
      </c>
      <c r="B35" s="11" t="s">
        <v>452</v>
      </c>
      <c r="C35" s="11" t="s">
        <v>453</v>
      </c>
      <c r="D35" s="13">
        <v>40024.899999999994</v>
      </c>
      <c r="E35" s="13">
        <v>36521.81</v>
      </c>
      <c r="F35" s="56">
        <f t="shared" si="1"/>
        <v>-3503.0899999999965</v>
      </c>
      <c r="G35" s="12">
        <v>46204</v>
      </c>
      <c r="H35" s="12">
        <v>46234</v>
      </c>
      <c r="I35" s="11" t="s">
        <v>338</v>
      </c>
      <c r="J35" s="11" t="s">
        <v>400</v>
      </c>
      <c r="K35" s="11" t="s">
        <v>340</v>
      </c>
    </row>
    <row r="36" spans="1:11">
      <c r="A36" s="11" t="s">
        <v>573</v>
      </c>
      <c r="B36" s="11" t="s">
        <v>460</v>
      </c>
      <c r="C36" s="11" t="s">
        <v>461</v>
      </c>
      <c r="D36" s="13">
        <v>76060.800000000003</v>
      </c>
      <c r="E36" s="13">
        <v>72557.710000000006</v>
      </c>
      <c r="F36" s="56">
        <f t="shared" si="1"/>
        <v>-3503.0899999999965</v>
      </c>
      <c r="G36" s="12">
        <v>46204</v>
      </c>
      <c r="H36" s="12">
        <v>46234</v>
      </c>
      <c r="I36" s="11" t="s">
        <v>338</v>
      </c>
      <c r="J36" s="11" t="s">
        <v>339</v>
      </c>
      <c r="K36" s="11" t="s">
        <v>340</v>
      </c>
    </row>
    <row r="37" spans="1:11">
      <c r="A37" s="11" t="s">
        <v>574</v>
      </c>
      <c r="B37" s="11" t="s">
        <v>462</v>
      </c>
      <c r="C37" s="11" t="s">
        <v>463</v>
      </c>
      <c r="D37" s="13">
        <v>45366.960000000006</v>
      </c>
      <c r="E37" s="13">
        <v>41863.870000000003</v>
      </c>
      <c r="F37" s="56">
        <f t="shared" si="1"/>
        <v>-3503.0900000000038</v>
      </c>
      <c r="G37" s="12">
        <v>46204</v>
      </c>
      <c r="H37" s="12">
        <v>46234</v>
      </c>
      <c r="I37" s="11" t="s">
        <v>338</v>
      </c>
      <c r="J37" s="11" t="s">
        <v>360</v>
      </c>
      <c r="K37" s="11" t="s">
        <v>340</v>
      </c>
    </row>
    <row r="38" spans="1:11">
      <c r="A38" s="11" t="s">
        <v>575</v>
      </c>
      <c r="B38" s="11" t="s">
        <v>466</v>
      </c>
      <c r="C38" s="11" t="s">
        <v>467</v>
      </c>
      <c r="D38" s="13">
        <v>16135.49</v>
      </c>
      <c r="E38" s="13">
        <v>12632.4</v>
      </c>
      <c r="F38" s="56">
        <f t="shared" si="1"/>
        <v>-3503.09</v>
      </c>
      <c r="G38" s="12">
        <v>46204</v>
      </c>
      <c r="H38" s="12">
        <v>46234</v>
      </c>
      <c r="I38" s="11" t="s">
        <v>338</v>
      </c>
      <c r="J38" s="11" t="s">
        <v>468</v>
      </c>
      <c r="K38" s="11" t="s">
        <v>340</v>
      </c>
    </row>
    <row r="39" spans="1:11">
      <c r="A39" s="11" t="s">
        <v>576</v>
      </c>
      <c r="B39" s="11" t="s">
        <v>474</v>
      </c>
      <c r="C39" s="11" t="s">
        <v>475</v>
      </c>
      <c r="D39" s="13">
        <v>14258.31</v>
      </c>
      <c r="E39" s="13">
        <v>10755.22</v>
      </c>
      <c r="F39" s="56">
        <f t="shared" si="1"/>
        <v>-3503.09</v>
      </c>
      <c r="G39" s="12">
        <v>46204</v>
      </c>
      <c r="H39" s="12">
        <v>46234</v>
      </c>
      <c r="I39" s="11" t="s">
        <v>338</v>
      </c>
      <c r="J39" s="11" t="s">
        <v>400</v>
      </c>
      <c r="K39" s="11" t="s">
        <v>340</v>
      </c>
    </row>
    <row r="40" spans="1:11">
      <c r="A40" s="11" t="s">
        <v>577</v>
      </c>
      <c r="B40" s="11" t="s">
        <v>478</v>
      </c>
      <c r="C40" s="11" t="s">
        <v>479</v>
      </c>
      <c r="D40" s="13">
        <v>13070.73</v>
      </c>
      <c r="E40" s="13">
        <v>9567.64</v>
      </c>
      <c r="F40" s="56">
        <f t="shared" si="1"/>
        <v>-3503.09</v>
      </c>
      <c r="G40" s="12">
        <v>46204</v>
      </c>
      <c r="H40" s="12">
        <v>46234</v>
      </c>
      <c r="I40" s="11" t="s">
        <v>338</v>
      </c>
      <c r="J40" s="11" t="s">
        <v>480</v>
      </c>
      <c r="K40" s="11" t="s">
        <v>340</v>
      </c>
    </row>
    <row r="41" spans="1:11">
      <c r="A41" s="11" t="s">
        <v>578</v>
      </c>
      <c r="B41" s="11" t="s">
        <v>484</v>
      </c>
      <c r="C41" s="11" t="s">
        <v>485</v>
      </c>
      <c r="D41" s="13">
        <v>28076.76</v>
      </c>
      <c r="E41" s="13">
        <v>24573.67</v>
      </c>
      <c r="F41" s="56">
        <f t="shared" si="1"/>
        <v>-3503.09</v>
      </c>
      <c r="G41" s="12">
        <v>46204</v>
      </c>
      <c r="H41" s="12">
        <v>46234</v>
      </c>
      <c r="I41" s="11" t="s">
        <v>338</v>
      </c>
      <c r="J41" s="11" t="s">
        <v>483</v>
      </c>
      <c r="K41" s="11" t="s">
        <v>340</v>
      </c>
    </row>
    <row r="42" spans="1:11">
      <c r="A42" s="11" t="s">
        <v>579</v>
      </c>
      <c r="B42" s="11" t="s">
        <v>486</v>
      </c>
      <c r="C42" s="11" t="s">
        <v>487</v>
      </c>
      <c r="D42" s="13">
        <v>20260.11</v>
      </c>
      <c r="E42" s="13">
        <v>16757.02</v>
      </c>
      <c r="F42" s="56">
        <f t="shared" si="1"/>
        <v>-3503.09</v>
      </c>
      <c r="G42" s="12">
        <v>46204</v>
      </c>
      <c r="H42" s="12">
        <v>46234</v>
      </c>
      <c r="I42" s="11" t="s">
        <v>338</v>
      </c>
      <c r="J42" s="11" t="s">
        <v>349</v>
      </c>
      <c r="K42" s="11" t="s">
        <v>340</v>
      </c>
    </row>
    <row r="43" spans="1:11">
      <c r="A43" s="11" t="s">
        <v>580</v>
      </c>
      <c r="B43" s="11" t="s">
        <v>490</v>
      </c>
      <c r="C43" s="11" t="s">
        <v>491</v>
      </c>
      <c r="D43" s="13">
        <v>16711.21</v>
      </c>
      <c r="E43" s="13">
        <v>13208.12</v>
      </c>
      <c r="F43" s="56">
        <f t="shared" si="1"/>
        <v>-3503.0899999999983</v>
      </c>
      <c r="G43" s="12">
        <v>46204</v>
      </c>
      <c r="H43" s="12">
        <v>46234</v>
      </c>
      <c r="I43" s="11" t="s">
        <v>338</v>
      </c>
      <c r="J43" s="11" t="s">
        <v>400</v>
      </c>
      <c r="K43" s="11" t="s">
        <v>340</v>
      </c>
    </row>
    <row r="44" spans="1:11">
      <c r="A44" s="11" t="s">
        <v>581</v>
      </c>
      <c r="B44" s="11" t="s">
        <v>492</v>
      </c>
      <c r="C44" s="11" t="s">
        <v>493</v>
      </c>
      <c r="D44" s="13">
        <v>16711.21</v>
      </c>
      <c r="E44" s="13">
        <v>13208.12</v>
      </c>
      <c r="F44" s="56">
        <f t="shared" si="1"/>
        <v>-3503.0899999999983</v>
      </c>
      <c r="G44" s="12">
        <v>46204</v>
      </c>
      <c r="H44" s="12">
        <v>46234</v>
      </c>
      <c r="I44" s="11" t="s">
        <v>338</v>
      </c>
      <c r="J44" s="11" t="s">
        <v>400</v>
      </c>
      <c r="K44" s="11" t="s">
        <v>340</v>
      </c>
    </row>
    <row r="45" spans="1:11">
      <c r="A45" s="11" t="s">
        <v>582</v>
      </c>
      <c r="B45" s="11" t="s">
        <v>497</v>
      </c>
      <c r="C45" s="11" t="s">
        <v>498</v>
      </c>
      <c r="D45" s="13">
        <v>19017.599999999999</v>
      </c>
      <c r="E45" s="13">
        <v>15514.51</v>
      </c>
      <c r="F45" s="56">
        <f t="shared" si="1"/>
        <v>-3503.0899999999983</v>
      </c>
      <c r="G45" s="12">
        <v>46204</v>
      </c>
      <c r="H45" s="12">
        <v>46234</v>
      </c>
      <c r="I45" s="11" t="s">
        <v>338</v>
      </c>
      <c r="J45" s="11" t="s">
        <v>369</v>
      </c>
      <c r="K45" s="11" t="s">
        <v>340</v>
      </c>
    </row>
    <row r="46" spans="1:11">
      <c r="A46" s="11" t="s">
        <v>583</v>
      </c>
      <c r="B46" s="11" t="s">
        <v>501</v>
      </c>
      <c r="C46" s="11" t="s">
        <v>502</v>
      </c>
      <c r="D46" s="13">
        <v>20304.009999999998</v>
      </c>
      <c r="E46" s="13">
        <v>16800.919999999998</v>
      </c>
      <c r="F46" s="56">
        <f t="shared" si="1"/>
        <v>-3503.09</v>
      </c>
      <c r="G46" s="12">
        <v>46204</v>
      </c>
      <c r="H46" s="12">
        <v>46234</v>
      </c>
      <c r="I46" s="11" t="s">
        <v>338</v>
      </c>
      <c r="J46" s="11" t="s">
        <v>369</v>
      </c>
      <c r="K46" s="11" t="s">
        <v>340</v>
      </c>
    </row>
    <row r="47" spans="1:11">
      <c r="A47" s="11" t="s">
        <v>584</v>
      </c>
      <c r="B47" s="11" t="s">
        <v>503</v>
      </c>
      <c r="C47" s="11" t="s">
        <v>504</v>
      </c>
      <c r="D47" s="13">
        <v>20304.009999999998</v>
      </c>
      <c r="E47" s="13">
        <v>16800.919999999998</v>
      </c>
      <c r="F47" s="56">
        <f t="shared" si="1"/>
        <v>-3503.09</v>
      </c>
      <c r="G47" s="12">
        <v>46204</v>
      </c>
      <c r="H47" s="12">
        <v>46234</v>
      </c>
      <c r="I47" s="11" t="s">
        <v>338</v>
      </c>
      <c r="J47" s="11" t="s">
        <v>369</v>
      </c>
      <c r="K47" s="11" t="s">
        <v>340</v>
      </c>
    </row>
    <row r="48" spans="1:11">
      <c r="A48" s="11" t="s">
        <v>585</v>
      </c>
      <c r="B48" s="11" t="s">
        <v>505</v>
      </c>
      <c r="C48" s="11" t="s">
        <v>506</v>
      </c>
      <c r="D48" s="13">
        <v>20961.099999999999</v>
      </c>
      <c r="E48" s="13">
        <v>17458.009999999998</v>
      </c>
      <c r="F48" s="56">
        <f t="shared" si="1"/>
        <v>-3503.09</v>
      </c>
      <c r="G48" s="12">
        <v>46204</v>
      </c>
      <c r="H48" s="12">
        <v>46234</v>
      </c>
      <c r="I48" s="11" t="s">
        <v>338</v>
      </c>
      <c r="J48" s="11" t="s">
        <v>468</v>
      </c>
      <c r="K48" s="11" t="s">
        <v>340</v>
      </c>
    </row>
    <row r="49" spans="1:11">
      <c r="A49" s="11" t="s">
        <v>586</v>
      </c>
      <c r="B49" s="11" t="s">
        <v>507</v>
      </c>
      <c r="C49" s="11" t="s">
        <v>508</v>
      </c>
      <c r="D49" s="13">
        <v>70017.61</v>
      </c>
      <c r="E49" s="13">
        <v>66514.52</v>
      </c>
      <c r="F49" s="56">
        <f t="shared" si="1"/>
        <v>-3503.0899999999965</v>
      </c>
      <c r="G49" s="12">
        <v>46204</v>
      </c>
      <c r="H49" s="12">
        <v>46234</v>
      </c>
      <c r="I49" s="11" t="s">
        <v>338</v>
      </c>
      <c r="J49" s="11" t="s">
        <v>509</v>
      </c>
      <c r="K49" s="11" t="s">
        <v>340</v>
      </c>
    </row>
    <row r="50" spans="1:11">
      <c r="A50" s="11" t="s">
        <v>587</v>
      </c>
      <c r="B50" s="11" t="s">
        <v>513</v>
      </c>
      <c r="C50" s="11" t="s">
        <v>514</v>
      </c>
      <c r="D50" s="13">
        <v>17287.169999999998</v>
      </c>
      <c r="E50" s="13">
        <v>13784.08</v>
      </c>
      <c r="F50" s="56">
        <f t="shared" si="1"/>
        <v>-3503.0899999999983</v>
      </c>
      <c r="G50" s="12">
        <v>46204</v>
      </c>
      <c r="H50" s="12">
        <v>46234</v>
      </c>
      <c r="I50" s="11" t="s">
        <v>338</v>
      </c>
      <c r="J50" s="11" t="s">
        <v>515</v>
      </c>
      <c r="K50" s="11" t="s">
        <v>340</v>
      </c>
    </row>
    <row r="51" spans="1:11">
      <c r="A51" s="11" t="s">
        <v>588</v>
      </c>
      <c r="B51" s="11" t="s">
        <v>519</v>
      </c>
      <c r="C51" s="11" t="s">
        <v>520</v>
      </c>
      <c r="D51" s="13">
        <v>20847.09</v>
      </c>
      <c r="E51" s="13">
        <v>17344</v>
      </c>
      <c r="F51" s="56">
        <f t="shared" si="1"/>
        <v>-3503.09</v>
      </c>
      <c r="G51" s="12">
        <v>46204</v>
      </c>
      <c r="H51" s="12">
        <v>46234</v>
      </c>
      <c r="I51" s="11" t="s">
        <v>338</v>
      </c>
      <c r="J51" s="11" t="s">
        <v>515</v>
      </c>
      <c r="K51" s="11" t="s">
        <v>340</v>
      </c>
    </row>
    <row r="52" spans="1:11">
      <c r="A52" s="11" t="s">
        <v>589</v>
      </c>
      <c r="B52" s="11" t="s">
        <v>521</v>
      </c>
      <c r="C52" s="11" t="s">
        <v>522</v>
      </c>
      <c r="D52" s="13">
        <v>11652.742</v>
      </c>
      <c r="E52" s="13">
        <v>8149.652</v>
      </c>
      <c r="F52" s="56">
        <f t="shared" si="1"/>
        <v>-3503.09</v>
      </c>
      <c r="G52" s="12">
        <v>46204</v>
      </c>
      <c r="H52" s="12">
        <v>46234</v>
      </c>
      <c r="I52" s="11" t="s">
        <v>338</v>
      </c>
      <c r="J52" s="11" t="s">
        <v>509</v>
      </c>
      <c r="K52" s="11" t="s">
        <v>340</v>
      </c>
    </row>
    <row r="53" spans="1:11">
      <c r="A53" s="11" t="s">
        <v>590</v>
      </c>
      <c r="B53" s="11" t="s">
        <v>523</v>
      </c>
      <c r="C53" s="11" t="s">
        <v>524</v>
      </c>
      <c r="D53" s="13">
        <v>11652.742</v>
      </c>
      <c r="E53" s="13">
        <v>8149.652</v>
      </c>
      <c r="F53" s="56">
        <f t="shared" si="1"/>
        <v>-3503.09</v>
      </c>
      <c r="G53" s="12">
        <v>46204</v>
      </c>
      <c r="H53" s="12">
        <v>46234</v>
      </c>
      <c r="I53" s="11" t="s">
        <v>338</v>
      </c>
      <c r="J53" s="11" t="s">
        <v>509</v>
      </c>
      <c r="K53" s="11" t="s">
        <v>340</v>
      </c>
    </row>
    <row r="54" spans="1:11">
      <c r="A54" s="11" t="s">
        <v>591</v>
      </c>
      <c r="B54" s="11" t="s">
        <v>532</v>
      </c>
      <c r="C54" s="11" t="s">
        <v>533</v>
      </c>
      <c r="D54" s="13">
        <v>20304.009999999998</v>
      </c>
      <c r="E54" s="13">
        <v>16800.919999999998</v>
      </c>
      <c r="F54" s="56">
        <f t="shared" si="1"/>
        <v>-3503.09</v>
      </c>
      <c r="G54" s="12">
        <v>46204</v>
      </c>
      <c r="H54" s="12">
        <v>46234</v>
      </c>
      <c r="I54" s="11" t="s">
        <v>338</v>
      </c>
      <c r="J54" s="11" t="s">
        <v>369</v>
      </c>
      <c r="K54" s="11" t="s">
        <v>340</v>
      </c>
    </row>
    <row r="55" spans="1:11">
      <c r="A55" s="11" t="s">
        <v>592</v>
      </c>
      <c r="B55" s="11" t="s">
        <v>341</v>
      </c>
      <c r="C55" s="11" t="s">
        <v>342</v>
      </c>
      <c r="D55" s="13">
        <v>13400.928</v>
      </c>
      <c r="E55" s="13">
        <v>9900</v>
      </c>
      <c r="F55" s="56">
        <f t="shared" si="1"/>
        <v>-3500.9279999999999</v>
      </c>
      <c r="G55" s="12">
        <v>46204</v>
      </c>
      <c r="H55" s="12">
        <v>46234</v>
      </c>
      <c r="I55" s="11" t="s">
        <v>338</v>
      </c>
      <c r="J55" s="11" t="s">
        <v>343</v>
      </c>
      <c r="K55" s="11" t="s">
        <v>340</v>
      </c>
    </row>
    <row r="56" spans="1:11">
      <c r="A56" s="11" t="s">
        <v>593</v>
      </c>
      <c r="B56" s="11" t="s">
        <v>344</v>
      </c>
      <c r="C56" s="11" t="s">
        <v>345</v>
      </c>
      <c r="D56" s="13">
        <v>7051.8249999999998</v>
      </c>
      <c r="E56" s="13">
        <v>3550.8969999999999</v>
      </c>
      <c r="F56" s="56">
        <f t="shared" si="1"/>
        <v>-3500.9279999999999</v>
      </c>
      <c r="G56" s="12">
        <v>46204</v>
      </c>
      <c r="H56" s="12">
        <v>46234</v>
      </c>
      <c r="I56" s="11" t="s">
        <v>338</v>
      </c>
      <c r="J56" s="11" t="s">
        <v>346</v>
      </c>
      <c r="K56" s="11" t="s">
        <v>340</v>
      </c>
    </row>
    <row r="57" spans="1:11">
      <c r="A57" s="11" t="s">
        <v>594</v>
      </c>
      <c r="B57" s="11" t="s">
        <v>370</v>
      </c>
      <c r="C57" s="11" t="s">
        <v>371</v>
      </c>
      <c r="D57" s="13">
        <v>13683.698</v>
      </c>
      <c r="E57" s="13">
        <v>10182.77</v>
      </c>
      <c r="F57" s="56">
        <f t="shared" si="1"/>
        <v>-3500.9279999999999</v>
      </c>
      <c r="G57" s="12">
        <v>46204</v>
      </c>
      <c r="H57" s="12">
        <v>46234</v>
      </c>
      <c r="I57" s="11" t="s">
        <v>338</v>
      </c>
      <c r="J57" s="11" t="s">
        <v>360</v>
      </c>
      <c r="K57" s="11" t="s">
        <v>340</v>
      </c>
    </row>
    <row r="58" spans="1:11">
      <c r="A58" s="11" t="s">
        <v>595</v>
      </c>
      <c r="B58" s="11" t="s">
        <v>372</v>
      </c>
      <c r="C58" s="11" t="s">
        <v>373</v>
      </c>
      <c r="D58" s="13">
        <v>11987.954</v>
      </c>
      <c r="E58" s="13">
        <v>8487.0259999999998</v>
      </c>
      <c r="F58" s="56">
        <f t="shared" si="1"/>
        <v>-3500.9279999999999</v>
      </c>
      <c r="G58" s="12">
        <v>46204</v>
      </c>
      <c r="H58" s="12">
        <v>46234</v>
      </c>
      <c r="I58" s="11" t="s">
        <v>338</v>
      </c>
      <c r="J58" s="11" t="s">
        <v>349</v>
      </c>
      <c r="K58" s="11" t="s">
        <v>340</v>
      </c>
    </row>
    <row r="59" spans="1:11">
      <c r="A59" s="11" t="s">
        <v>596</v>
      </c>
      <c r="B59" s="11" t="s">
        <v>374</v>
      </c>
      <c r="C59" s="11" t="s">
        <v>375</v>
      </c>
      <c r="D59" s="13">
        <v>17320.928</v>
      </c>
      <c r="E59" s="13">
        <v>13820</v>
      </c>
      <c r="F59" s="56">
        <f t="shared" si="1"/>
        <v>-3500.9279999999999</v>
      </c>
      <c r="G59" s="12">
        <v>46204</v>
      </c>
      <c r="H59" s="12">
        <v>46234</v>
      </c>
      <c r="I59" s="11" t="s">
        <v>338</v>
      </c>
      <c r="J59" s="11" t="s">
        <v>343</v>
      </c>
      <c r="K59" s="11" t="s">
        <v>340</v>
      </c>
    </row>
    <row r="60" spans="1:11">
      <c r="A60" s="11" t="s">
        <v>597</v>
      </c>
      <c r="B60" s="11" t="s">
        <v>380</v>
      </c>
      <c r="C60" s="11" t="s">
        <v>381</v>
      </c>
      <c r="D60" s="13">
        <v>15261.328</v>
      </c>
      <c r="E60" s="13">
        <v>11760.4</v>
      </c>
      <c r="F60" s="56">
        <f t="shared" si="1"/>
        <v>-3500.9279999999999</v>
      </c>
      <c r="G60" s="12">
        <v>46204</v>
      </c>
      <c r="H60" s="12">
        <v>46234</v>
      </c>
      <c r="I60" s="11" t="s">
        <v>338</v>
      </c>
      <c r="J60" s="11" t="s">
        <v>339</v>
      </c>
      <c r="K60" s="11" t="s">
        <v>340</v>
      </c>
    </row>
    <row r="61" spans="1:11">
      <c r="A61" s="11" t="s">
        <v>598</v>
      </c>
      <c r="B61" s="11" t="s">
        <v>382</v>
      </c>
      <c r="C61" s="11" t="s">
        <v>383</v>
      </c>
      <c r="D61" s="13">
        <v>15060.928</v>
      </c>
      <c r="E61" s="13">
        <v>11560</v>
      </c>
      <c r="F61" s="56">
        <f t="shared" si="1"/>
        <v>-3500.9279999999999</v>
      </c>
      <c r="G61" s="12">
        <v>46204</v>
      </c>
      <c r="H61" s="12">
        <v>46234</v>
      </c>
      <c r="I61" s="11" t="s">
        <v>338</v>
      </c>
      <c r="J61" s="11" t="s">
        <v>343</v>
      </c>
      <c r="K61" s="11" t="s">
        <v>340</v>
      </c>
    </row>
    <row r="62" spans="1:11">
      <c r="A62" s="11" t="s">
        <v>599</v>
      </c>
      <c r="B62" s="11" t="s">
        <v>384</v>
      </c>
      <c r="C62" s="11" t="s">
        <v>385</v>
      </c>
      <c r="D62" s="13">
        <v>15060.928</v>
      </c>
      <c r="E62" s="13">
        <v>11560</v>
      </c>
      <c r="F62" s="56">
        <f t="shared" si="1"/>
        <v>-3500.9279999999999</v>
      </c>
      <c r="G62" s="12">
        <v>46204</v>
      </c>
      <c r="H62" s="12">
        <v>46234</v>
      </c>
      <c r="I62" s="11" t="s">
        <v>338</v>
      </c>
      <c r="J62" s="11" t="s">
        <v>343</v>
      </c>
      <c r="K62" s="11" t="s">
        <v>340</v>
      </c>
    </row>
    <row r="63" spans="1:11">
      <c r="A63" s="11" t="s">
        <v>600</v>
      </c>
      <c r="B63" s="11" t="s">
        <v>386</v>
      </c>
      <c r="C63" s="11" t="s">
        <v>387</v>
      </c>
      <c r="D63" s="13">
        <v>12440.491</v>
      </c>
      <c r="E63" s="13">
        <v>8939.5630000000001</v>
      </c>
      <c r="F63" s="56">
        <f t="shared" si="1"/>
        <v>-3500.9279999999999</v>
      </c>
      <c r="G63" s="12">
        <v>46204</v>
      </c>
      <c r="H63" s="12">
        <v>46234</v>
      </c>
      <c r="I63" s="11" t="s">
        <v>338</v>
      </c>
      <c r="J63" s="11" t="s">
        <v>339</v>
      </c>
      <c r="K63" s="11" t="s">
        <v>340</v>
      </c>
    </row>
    <row r="64" spans="1:11">
      <c r="A64" s="11" t="s">
        <v>601</v>
      </c>
      <c r="B64" s="11" t="s">
        <v>388</v>
      </c>
      <c r="C64" s="11" t="s">
        <v>389</v>
      </c>
      <c r="D64" s="13">
        <v>14290.928</v>
      </c>
      <c r="E64" s="13">
        <v>10790</v>
      </c>
      <c r="F64" s="56">
        <f t="shared" si="1"/>
        <v>-3500.9279999999999</v>
      </c>
      <c r="G64" s="12">
        <v>46204</v>
      </c>
      <c r="H64" s="12">
        <v>46234</v>
      </c>
      <c r="I64" s="11" t="s">
        <v>338</v>
      </c>
      <c r="J64" s="11" t="s">
        <v>343</v>
      </c>
      <c r="K64" s="11" t="s">
        <v>340</v>
      </c>
    </row>
    <row r="65" spans="1:11">
      <c r="A65" s="11" t="s">
        <v>602</v>
      </c>
      <c r="B65" s="11" t="s">
        <v>390</v>
      </c>
      <c r="C65" s="11" t="s">
        <v>391</v>
      </c>
      <c r="D65" s="13">
        <v>14699.798000000001</v>
      </c>
      <c r="E65" s="13">
        <v>11198.87</v>
      </c>
      <c r="F65" s="56">
        <f t="shared" si="1"/>
        <v>-3500.9279999999999</v>
      </c>
      <c r="G65" s="12">
        <v>46204</v>
      </c>
      <c r="H65" s="12">
        <v>46234</v>
      </c>
      <c r="I65" s="11" t="s">
        <v>338</v>
      </c>
      <c r="J65" s="11" t="s">
        <v>360</v>
      </c>
      <c r="K65" s="11" t="s">
        <v>340</v>
      </c>
    </row>
    <row r="66" spans="1:11">
      <c r="A66" s="11" t="s">
        <v>603</v>
      </c>
      <c r="B66" s="11" t="s">
        <v>392</v>
      </c>
      <c r="C66" s="11" t="s">
        <v>393</v>
      </c>
      <c r="D66" s="13">
        <v>14699.798000000001</v>
      </c>
      <c r="E66" s="13">
        <v>11198.87</v>
      </c>
      <c r="F66" s="56">
        <f t="shared" ref="F66:F92" si="2">+E66-D66</f>
        <v>-3500.9279999999999</v>
      </c>
      <c r="G66" s="12">
        <v>46204</v>
      </c>
      <c r="H66" s="12">
        <v>46234</v>
      </c>
      <c r="I66" s="11" t="s">
        <v>338</v>
      </c>
      <c r="J66" s="11" t="s">
        <v>360</v>
      </c>
      <c r="K66" s="11" t="s">
        <v>340</v>
      </c>
    </row>
    <row r="67" spans="1:11">
      <c r="A67" s="11" t="s">
        <v>604</v>
      </c>
      <c r="B67" s="11" t="s">
        <v>394</v>
      </c>
      <c r="C67" s="11" t="s">
        <v>395</v>
      </c>
      <c r="D67" s="13">
        <v>14699.798000000001</v>
      </c>
      <c r="E67" s="13">
        <v>11198.87</v>
      </c>
      <c r="F67" s="56">
        <f t="shared" si="2"/>
        <v>-3500.9279999999999</v>
      </c>
      <c r="G67" s="12">
        <v>46204</v>
      </c>
      <c r="H67" s="12">
        <v>46234</v>
      </c>
      <c r="I67" s="11" t="s">
        <v>338</v>
      </c>
      <c r="J67" s="11" t="s">
        <v>360</v>
      </c>
      <c r="K67" s="11" t="s">
        <v>340</v>
      </c>
    </row>
    <row r="68" spans="1:11">
      <c r="A68" s="11" t="s">
        <v>605</v>
      </c>
      <c r="B68" s="11" t="s">
        <v>403</v>
      </c>
      <c r="C68" s="11" t="s">
        <v>404</v>
      </c>
      <c r="D68" s="13">
        <v>16000.928</v>
      </c>
      <c r="E68" s="13">
        <v>12500</v>
      </c>
      <c r="F68" s="56">
        <f t="shared" si="2"/>
        <v>-3500.9279999999999</v>
      </c>
      <c r="G68" s="12">
        <v>46204</v>
      </c>
      <c r="H68" s="12">
        <v>46234</v>
      </c>
      <c r="I68" s="11" t="s">
        <v>338</v>
      </c>
      <c r="J68" s="11" t="s">
        <v>343</v>
      </c>
      <c r="K68" s="11" t="s">
        <v>340</v>
      </c>
    </row>
    <row r="69" spans="1:11">
      <c r="A69" s="11" t="s">
        <v>606</v>
      </c>
      <c r="B69" s="11" t="s">
        <v>405</v>
      </c>
      <c r="C69" s="11" t="s">
        <v>406</v>
      </c>
      <c r="D69" s="13">
        <v>11868.492</v>
      </c>
      <c r="E69" s="13">
        <v>8367.5640000000003</v>
      </c>
      <c r="F69" s="56">
        <f t="shared" si="2"/>
        <v>-3500.9279999999999</v>
      </c>
      <c r="G69" s="12">
        <v>46204</v>
      </c>
      <c r="H69" s="12">
        <v>46234</v>
      </c>
      <c r="I69" s="11" t="s">
        <v>338</v>
      </c>
      <c r="J69" s="11" t="s">
        <v>349</v>
      </c>
      <c r="K69" s="11" t="s">
        <v>340</v>
      </c>
    </row>
    <row r="70" spans="1:11">
      <c r="A70" s="11" t="s">
        <v>607</v>
      </c>
      <c r="B70" s="11" t="s">
        <v>418</v>
      </c>
      <c r="C70" s="11" t="s">
        <v>419</v>
      </c>
      <c r="D70" s="13">
        <v>15060.928</v>
      </c>
      <c r="E70" s="13">
        <v>11560</v>
      </c>
      <c r="F70" s="56">
        <f t="shared" si="2"/>
        <v>-3500.9279999999999</v>
      </c>
      <c r="G70" s="12">
        <v>46204</v>
      </c>
      <c r="H70" s="12">
        <v>46234</v>
      </c>
      <c r="I70" s="11" t="s">
        <v>338</v>
      </c>
      <c r="J70" s="11" t="s">
        <v>343</v>
      </c>
      <c r="K70" s="11" t="s">
        <v>340</v>
      </c>
    </row>
    <row r="71" spans="1:11">
      <c r="A71" s="11" t="s">
        <v>608</v>
      </c>
      <c r="B71" s="11" t="s">
        <v>420</v>
      </c>
      <c r="C71" s="11" t="s">
        <v>421</v>
      </c>
      <c r="D71" s="13">
        <v>15060.928</v>
      </c>
      <c r="E71" s="13">
        <v>11560</v>
      </c>
      <c r="F71" s="56">
        <f t="shared" si="2"/>
        <v>-3500.9279999999999</v>
      </c>
      <c r="G71" s="12">
        <v>46204</v>
      </c>
      <c r="H71" s="12">
        <v>46234</v>
      </c>
      <c r="I71" s="11" t="s">
        <v>338</v>
      </c>
      <c r="J71" s="11" t="s">
        <v>343</v>
      </c>
      <c r="K71" s="11" t="s">
        <v>340</v>
      </c>
    </row>
    <row r="72" spans="1:11">
      <c r="A72" s="11" t="s">
        <v>609</v>
      </c>
      <c r="B72" s="11" t="s">
        <v>422</v>
      </c>
      <c r="C72" s="11" t="s">
        <v>423</v>
      </c>
      <c r="D72" s="13">
        <v>15060.928</v>
      </c>
      <c r="E72" s="13">
        <v>11560</v>
      </c>
      <c r="F72" s="56">
        <f t="shared" si="2"/>
        <v>-3500.9279999999999</v>
      </c>
      <c r="G72" s="12">
        <v>46204</v>
      </c>
      <c r="H72" s="12">
        <v>46234</v>
      </c>
      <c r="I72" s="11" t="s">
        <v>338</v>
      </c>
      <c r="J72" s="11" t="s">
        <v>343</v>
      </c>
      <c r="K72" s="11" t="s">
        <v>340</v>
      </c>
    </row>
    <row r="73" spans="1:11">
      <c r="A73" s="11" t="s">
        <v>610</v>
      </c>
      <c r="B73" s="11" t="s">
        <v>436</v>
      </c>
      <c r="C73" s="11" t="s">
        <v>437</v>
      </c>
      <c r="D73" s="13">
        <v>8802.023000000001</v>
      </c>
      <c r="E73" s="13">
        <v>5301.0950000000003</v>
      </c>
      <c r="F73" s="56">
        <f t="shared" si="2"/>
        <v>-3500.9280000000008</v>
      </c>
      <c r="G73" s="12">
        <v>46204</v>
      </c>
      <c r="H73" s="12">
        <v>46234</v>
      </c>
      <c r="I73" s="11" t="s">
        <v>338</v>
      </c>
      <c r="J73" s="11" t="s">
        <v>339</v>
      </c>
      <c r="K73" s="11" t="s">
        <v>340</v>
      </c>
    </row>
    <row r="74" spans="1:11">
      <c r="A74" s="11" t="s">
        <v>611</v>
      </c>
      <c r="B74" s="11" t="s">
        <v>438</v>
      </c>
      <c r="C74" s="11" t="s">
        <v>439</v>
      </c>
      <c r="D74" s="13">
        <v>12714.86</v>
      </c>
      <c r="E74" s="13">
        <v>9213.9320000000007</v>
      </c>
      <c r="F74" s="56">
        <f t="shared" si="2"/>
        <v>-3500.9279999999999</v>
      </c>
      <c r="G74" s="12">
        <v>46204</v>
      </c>
      <c r="H74" s="12">
        <v>46234</v>
      </c>
      <c r="I74" s="11" t="s">
        <v>338</v>
      </c>
      <c r="J74" s="11" t="s">
        <v>349</v>
      </c>
      <c r="K74" s="11" t="s">
        <v>340</v>
      </c>
    </row>
    <row r="75" spans="1:11">
      <c r="A75" s="11" t="s">
        <v>612</v>
      </c>
      <c r="B75" s="11" t="s">
        <v>440</v>
      </c>
      <c r="C75" s="11" t="s">
        <v>441</v>
      </c>
      <c r="D75" s="13">
        <v>10939.918</v>
      </c>
      <c r="E75" s="13">
        <v>7438.99</v>
      </c>
      <c r="F75" s="56">
        <f t="shared" si="2"/>
        <v>-3500.9279999999999</v>
      </c>
      <c r="G75" s="12">
        <v>46204</v>
      </c>
      <c r="H75" s="12">
        <v>46234</v>
      </c>
      <c r="I75" s="11" t="s">
        <v>338</v>
      </c>
      <c r="J75" s="11" t="s">
        <v>349</v>
      </c>
      <c r="K75" s="11" t="s">
        <v>340</v>
      </c>
    </row>
    <row r="76" spans="1:11">
      <c r="A76" s="11" t="s">
        <v>613</v>
      </c>
      <c r="B76" s="11" t="s">
        <v>444</v>
      </c>
      <c r="C76" s="11" t="s">
        <v>445</v>
      </c>
      <c r="D76" s="13">
        <v>14699.798000000001</v>
      </c>
      <c r="E76" s="13">
        <v>11198.87</v>
      </c>
      <c r="F76" s="56">
        <f t="shared" si="2"/>
        <v>-3500.9279999999999</v>
      </c>
      <c r="G76" s="12">
        <v>46204</v>
      </c>
      <c r="H76" s="12">
        <v>46234</v>
      </c>
      <c r="I76" s="11" t="s">
        <v>338</v>
      </c>
      <c r="J76" s="11" t="s">
        <v>360</v>
      </c>
      <c r="K76" s="11" t="s">
        <v>340</v>
      </c>
    </row>
    <row r="77" spans="1:11">
      <c r="A77" s="11" t="s">
        <v>614</v>
      </c>
      <c r="B77" s="11" t="s">
        <v>446</v>
      </c>
      <c r="C77" s="11" t="s">
        <v>447</v>
      </c>
      <c r="D77" s="13">
        <v>14699.798000000001</v>
      </c>
      <c r="E77" s="13">
        <v>11198.87</v>
      </c>
      <c r="F77" s="56">
        <f t="shared" si="2"/>
        <v>-3500.9279999999999</v>
      </c>
      <c r="G77" s="12">
        <v>46204</v>
      </c>
      <c r="H77" s="12">
        <v>46234</v>
      </c>
      <c r="I77" s="11" t="s">
        <v>338</v>
      </c>
      <c r="J77" s="11" t="s">
        <v>360</v>
      </c>
      <c r="K77" s="11" t="s">
        <v>340</v>
      </c>
    </row>
    <row r="78" spans="1:11">
      <c r="A78" s="11" t="s">
        <v>615</v>
      </c>
      <c r="B78" s="11" t="s">
        <v>456</v>
      </c>
      <c r="C78" s="11" t="s">
        <v>457</v>
      </c>
      <c r="D78" s="13">
        <v>12714.86</v>
      </c>
      <c r="E78" s="13">
        <v>9213.9320000000007</v>
      </c>
      <c r="F78" s="56">
        <f t="shared" si="2"/>
        <v>-3500.9279999999999</v>
      </c>
      <c r="G78" s="12">
        <v>46204</v>
      </c>
      <c r="H78" s="12">
        <v>46234</v>
      </c>
      <c r="I78" s="11" t="s">
        <v>338</v>
      </c>
      <c r="J78" s="11" t="s">
        <v>349</v>
      </c>
      <c r="K78" s="11" t="s">
        <v>340</v>
      </c>
    </row>
    <row r="79" spans="1:11">
      <c r="A79" s="11" t="s">
        <v>616</v>
      </c>
      <c r="B79" s="11" t="s">
        <v>458</v>
      </c>
      <c r="C79" s="11" t="s">
        <v>459</v>
      </c>
      <c r="D79" s="13">
        <v>12714.86</v>
      </c>
      <c r="E79" s="13">
        <v>9213.9320000000007</v>
      </c>
      <c r="F79" s="56">
        <f t="shared" si="2"/>
        <v>-3500.9279999999999</v>
      </c>
      <c r="G79" s="12">
        <v>46204</v>
      </c>
      <c r="H79" s="12">
        <v>46234</v>
      </c>
      <c r="I79" s="11" t="s">
        <v>338</v>
      </c>
      <c r="J79" s="11" t="s">
        <v>349</v>
      </c>
      <c r="K79" s="11" t="s">
        <v>340</v>
      </c>
    </row>
    <row r="80" spans="1:11">
      <c r="A80" s="11" t="s">
        <v>617</v>
      </c>
      <c r="B80" s="11" t="s">
        <v>464</v>
      </c>
      <c r="C80" s="11" t="s">
        <v>465</v>
      </c>
      <c r="D80" s="13">
        <v>15880.928</v>
      </c>
      <c r="E80" s="13">
        <v>12380</v>
      </c>
      <c r="F80" s="56">
        <f t="shared" si="2"/>
        <v>-3500.9279999999999</v>
      </c>
      <c r="G80" s="12">
        <v>46204</v>
      </c>
      <c r="H80" s="12">
        <v>46234</v>
      </c>
      <c r="I80" s="11" t="s">
        <v>338</v>
      </c>
      <c r="J80" s="11" t="s">
        <v>343</v>
      </c>
      <c r="K80" s="11" t="s">
        <v>340</v>
      </c>
    </row>
    <row r="81" spans="1:11">
      <c r="A81" s="11" t="s">
        <v>618</v>
      </c>
      <c r="B81" s="11" t="s">
        <v>469</v>
      </c>
      <c r="C81" s="11" t="s">
        <v>470</v>
      </c>
      <c r="D81" s="13">
        <v>17275.928</v>
      </c>
      <c r="E81" s="13">
        <v>13775</v>
      </c>
      <c r="F81" s="56">
        <f t="shared" si="2"/>
        <v>-3500.9279999999999</v>
      </c>
      <c r="G81" s="12">
        <v>46204</v>
      </c>
      <c r="H81" s="12">
        <v>46234</v>
      </c>
      <c r="I81" s="11" t="s">
        <v>338</v>
      </c>
      <c r="J81" s="11" t="s">
        <v>471</v>
      </c>
      <c r="K81" s="11" t="s">
        <v>340</v>
      </c>
    </row>
    <row r="82" spans="1:11">
      <c r="A82" s="11" t="s">
        <v>619</v>
      </c>
      <c r="B82" s="11" t="s">
        <v>472</v>
      </c>
      <c r="C82" s="11" t="s">
        <v>473</v>
      </c>
      <c r="D82" s="13">
        <v>17275.928</v>
      </c>
      <c r="E82" s="13">
        <v>13775</v>
      </c>
      <c r="F82" s="56">
        <f t="shared" si="2"/>
        <v>-3500.9279999999999</v>
      </c>
      <c r="G82" s="12">
        <v>46204</v>
      </c>
      <c r="H82" s="12">
        <v>46234</v>
      </c>
      <c r="I82" s="11" t="s">
        <v>338</v>
      </c>
      <c r="J82" s="11" t="s">
        <v>471</v>
      </c>
      <c r="K82" s="11" t="s">
        <v>340</v>
      </c>
    </row>
    <row r="83" spans="1:11">
      <c r="A83" s="11" t="s">
        <v>620</v>
      </c>
      <c r="B83" s="11" t="s">
        <v>476</v>
      </c>
      <c r="C83" s="11" t="s">
        <v>477</v>
      </c>
      <c r="D83" s="13">
        <v>12714.86</v>
      </c>
      <c r="E83" s="13">
        <v>9213.9320000000007</v>
      </c>
      <c r="F83" s="56">
        <f t="shared" si="2"/>
        <v>-3500.9279999999999</v>
      </c>
      <c r="G83" s="12">
        <v>46204</v>
      </c>
      <c r="H83" s="12">
        <v>46234</v>
      </c>
      <c r="I83" s="11" t="s">
        <v>338</v>
      </c>
      <c r="J83" s="11" t="s">
        <v>349</v>
      </c>
      <c r="K83" s="11" t="s">
        <v>340</v>
      </c>
    </row>
    <row r="84" spans="1:11">
      <c r="A84" s="11" t="s">
        <v>621</v>
      </c>
      <c r="B84" s="11" t="s">
        <v>481</v>
      </c>
      <c r="C84" s="11" t="s">
        <v>482</v>
      </c>
      <c r="D84" s="13">
        <v>28074.597999999998</v>
      </c>
      <c r="E84" s="13">
        <v>24573.67</v>
      </c>
      <c r="F84" s="56">
        <f t="shared" si="2"/>
        <v>-3500.9279999999999</v>
      </c>
      <c r="G84" s="12">
        <v>46204</v>
      </c>
      <c r="H84" s="12">
        <v>46234</v>
      </c>
      <c r="I84" s="11" t="s">
        <v>338</v>
      </c>
      <c r="J84" s="11" t="s">
        <v>483</v>
      </c>
      <c r="K84" s="11" t="s">
        <v>340</v>
      </c>
    </row>
    <row r="85" spans="1:11">
      <c r="A85" s="11" t="s">
        <v>622</v>
      </c>
      <c r="B85" s="11" t="s">
        <v>488</v>
      </c>
      <c r="C85" s="11" t="s">
        <v>489</v>
      </c>
      <c r="D85" s="13">
        <v>15060.928</v>
      </c>
      <c r="E85" s="13">
        <v>11560</v>
      </c>
      <c r="F85" s="56">
        <f t="shared" si="2"/>
        <v>-3500.9279999999999</v>
      </c>
      <c r="G85" s="12">
        <v>46204</v>
      </c>
      <c r="H85" s="12">
        <v>46234</v>
      </c>
      <c r="I85" s="11" t="s">
        <v>338</v>
      </c>
      <c r="J85" s="11" t="s">
        <v>343</v>
      </c>
      <c r="K85" s="11" t="s">
        <v>340</v>
      </c>
    </row>
    <row r="86" spans="1:11">
      <c r="A86" s="11" t="s">
        <v>623</v>
      </c>
      <c r="B86" s="11" t="s">
        <v>494</v>
      </c>
      <c r="C86" s="11" t="s">
        <v>495</v>
      </c>
      <c r="D86" s="13">
        <v>6233.83</v>
      </c>
      <c r="E86" s="13">
        <v>2732.902</v>
      </c>
      <c r="F86" s="56">
        <f t="shared" si="2"/>
        <v>-3500.9279999999999</v>
      </c>
      <c r="G86" s="12">
        <v>46204</v>
      </c>
      <c r="H86" s="12">
        <v>46234</v>
      </c>
      <c r="I86" s="11" t="s">
        <v>338</v>
      </c>
      <c r="J86" s="11" t="s">
        <v>496</v>
      </c>
      <c r="K86" s="11" t="s">
        <v>340</v>
      </c>
    </row>
    <row r="87" spans="1:11">
      <c r="A87" s="11" t="s">
        <v>624</v>
      </c>
      <c r="B87" s="11" t="s">
        <v>499</v>
      </c>
      <c r="C87" s="11" t="s">
        <v>500</v>
      </c>
      <c r="D87" s="13">
        <v>19986.207999999999</v>
      </c>
      <c r="E87" s="13">
        <v>16485.28</v>
      </c>
      <c r="F87" s="56">
        <f t="shared" si="2"/>
        <v>-3500.9279999999999</v>
      </c>
      <c r="G87" s="12">
        <v>46204</v>
      </c>
      <c r="H87" s="12">
        <v>46234</v>
      </c>
      <c r="I87" s="11" t="s">
        <v>338</v>
      </c>
      <c r="J87" s="11" t="s">
        <v>346</v>
      </c>
      <c r="K87" s="11" t="s">
        <v>340</v>
      </c>
    </row>
    <row r="88" spans="1:11">
      <c r="A88" s="11" t="s">
        <v>625</v>
      </c>
      <c r="B88" s="11" t="s">
        <v>510</v>
      </c>
      <c r="C88" s="11" t="s">
        <v>511</v>
      </c>
      <c r="D88" s="13">
        <v>21186.288</v>
      </c>
      <c r="E88" s="13">
        <v>17685.36</v>
      </c>
      <c r="F88" s="56">
        <f t="shared" si="2"/>
        <v>-3500.9279999999999</v>
      </c>
      <c r="G88" s="12">
        <v>46204</v>
      </c>
      <c r="H88" s="12">
        <v>46234</v>
      </c>
      <c r="I88" s="11" t="s">
        <v>338</v>
      </c>
      <c r="J88" s="11" t="s">
        <v>512</v>
      </c>
      <c r="K88" s="11" t="s">
        <v>340</v>
      </c>
    </row>
    <row r="89" spans="1:11">
      <c r="A89" s="11" t="s">
        <v>626</v>
      </c>
      <c r="B89" s="11" t="s">
        <v>516</v>
      </c>
      <c r="C89" s="11" t="s">
        <v>517</v>
      </c>
      <c r="D89" s="13">
        <v>22400.918000000001</v>
      </c>
      <c r="E89" s="13">
        <v>18899.990000000002</v>
      </c>
      <c r="F89" s="56">
        <f t="shared" si="2"/>
        <v>-3500.9279999999999</v>
      </c>
      <c r="G89" s="12">
        <v>46204</v>
      </c>
      <c r="H89" s="12">
        <v>46234</v>
      </c>
      <c r="I89" s="11" t="s">
        <v>338</v>
      </c>
      <c r="J89" s="11" t="s">
        <v>518</v>
      </c>
      <c r="K89" s="11" t="s">
        <v>340</v>
      </c>
    </row>
    <row r="90" spans="1:11">
      <c r="A90" s="11" t="s">
        <v>627</v>
      </c>
      <c r="B90" s="11" t="s">
        <v>525</v>
      </c>
      <c r="C90" s="11" t="s">
        <v>526</v>
      </c>
      <c r="D90" s="13">
        <v>15060.928</v>
      </c>
      <c r="E90" s="13">
        <v>11560</v>
      </c>
      <c r="F90" s="56">
        <f t="shared" si="2"/>
        <v>-3500.9279999999999</v>
      </c>
      <c r="G90" s="12">
        <v>46204</v>
      </c>
      <c r="H90" s="12">
        <v>46234</v>
      </c>
      <c r="I90" s="11" t="s">
        <v>338</v>
      </c>
      <c r="J90" s="11" t="s">
        <v>343</v>
      </c>
      <c r="K90" s="11" t="s">
        <v>340</v>
      </c>
    </row>
    <row r="91" spans="1:11">
      <c r="A91" s="11" t="s">
        <v>628</v>
      </c>
      <c r="B91" s="11" t="s">
        <v>527</v>
      </c>
      <c r="C91" s="11" t="s">
        <v>528</v>
      </c>
      <c r="D91" s="13">
        <v>12714.86</v>
      </c>
      <c r="E91" s="13">
        <v>9213.9320000000007</v>
      </c>
      <c r="F91" s="56">
        <f t="shared" si="2"/>
        <v>-3500.9279999999999</v>
      </c>
      <c r="G91" s="12">
        <v>46204</v>
      </c>
      <c r="H91" s="12">
        <v>46234</v>
      </c>
      <c r="I91" s="11" t="s">
        <v>338</v>
      </c>
      <c r="J91" s="11" t="s">
        <v>349</v>
      </c>
      <c r="K91" s="11" t="s">
        <v>340</v>
      </c>
    </row>
    <row r="92" spans="1:11">
      <c r="A92" s="11" t="s">
        <v>629</v>
      </c>
      <c r="B92" s="11" t="s">
        <v>529</v>
      </c>
      <c r="C92" s="11" t="s">
        <v>530</v>
      </c>
      <c r="D92" s="13">
        <v>31819.428</v>
      </c>
      <c r="E92" s="13">
        <v>28318.5</v>
      </c>
      <c r="F92" s="56">
        <f t="shared" si="2"/>
        <v>-3500.9279999999999</v>
      </c>
      <c r="G92" s="12">
        <v>46204</v>
      </c>
      <c r="H92" s="12">
        <v>46234</v>
      </c>
      <c r="I92" s="11" t="s">
        <v>338</v>
      </c>
      <c r="J92" s="11" t="s">
        <v>531</v>
      </c>
      <c r="K92" s="11" t="s">
        <v>340</v>
      </c>
    </row>
    <row r="121" s="11" customFormat="1"/>
    <row r="122" s="11" customFormat="1"/>
    <row r="123" s="55" customFormat="1"/>
    <row r="124" s="55" customFormat="1"/>
    <row r="125" s="55" customFormat="1"/>
    <row r="126" s="55" customFormat="1"/>
    <row r="127" s="55" customFormat="1"/>
    <row r="128" s="55" customForma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OFERTAS</vt:lpstr>
      <vt:lpstr>DESTACADO</vt:lpstr>
      <vt:lpstr>COMBOS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Sucursal17</cp:lastModifiedBy>
  <dcterms:created xsi:type="dcterms:W3CDTF">2026-05-02T15:58:14Z</dcterms:created>
  <dcterms:modified xsi:type="dcterms:W3CDTF">2026-07-06T10:31:44Z</dcterms:modified>
</cp:coreProperties>
</file>